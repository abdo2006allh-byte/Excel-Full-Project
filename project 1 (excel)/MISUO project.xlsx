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bdullah\Desktop\work shop\"/>
    </mc:Choice>
  </mc:AlternateContent>
  <xr:revisionPtr revIDLastSave="0" documentId="8_{A44C9F74-6F90-4305-8757-970DD0477360}" xr6:coauthVersionLast="47" xr6:coauthVersionMax="47" xr10:uidLastSave="{00000000-0000-0000-0000-000000000000}"/>
  <bookViews>
    <workbookView xWindow="-110" yWindow="-110" windowWidth="19420" windowHeight="12220" activeTab="2" xr2:uid="{00000000-000D-0000-FFFF-FFFF00000000}"/>
  </bookViews>
  <sheets>
    <sheet name="البيانات" sheetId="1" r:id="rId1"/>
    <sheet name="Pivot" sheetId="4" r:id="rId2"/>
    <sheet name="Sheet1" sheetId="7" r:id="rId3"/>
  </sheets>
  <definedNames>
    <definedName name="_xlnm._FilterDatabase" localSheetId="0" hidden="1">البيانات!$A$1:$X$114</definedName>
    <definedName name="Slicer_Months__ميعاد_الطلب">#N/A</definedName>
    <definedName name="Slicer_اسم_المنتج">#N/A</definedName>
    <definedName name="Slicer_المحافظه">#N/A</definedName>
  </definedNames>
  <calcPr calcId="191028"/>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5" i="1" l="1"/>
  <c r="C35" i="1"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AD19" i="4"/>
  <c r="X15" i="4"/>
  <c r="U5" i="1"/>
  <c r="U7" i="1"/>
  <c r="U8" i="1"/>
  <c r="U9" i="1"/>
  <c r="U10" i="1"/>
  <c r="U12" i="1"/>
  <c r="U13" i="1"/>
  <c r="U14" i="1"/>
  <c r="U17" i="1"/>
  <c r="U19" i="1"/>
  <c r="U20" i="1"/>
  <c r="U22" i="1"/>
  <c r="U23" i="1"/>
  <c r="U24" i="1"/>
  <c r="U25" i="1"/>
  <c r="U26" i="1"/>
  <c r="U28" i="1"/>
  <c r="U29" i="1"/>
  <c r="U32" i="1"/>
  <c r="U33" i="1"/>
  <c r="U34" i="1"/>
  <c r="U36" i="1"/>
  <c r="U37" i="1"/>
  <c r="U38" i="1"/>
  <c r="U39" i="1"/>
  <c r="U40" i="1"/>
  <c r="U42" i="1"/>
  <c r="U43" i="1"/>
  <c r="U44" i="1"/>
  <c r="U45" i="1"/>
  <c r="U60" i="1"/>
  <c r="U61" i="1"/>
  <c r="U64" i="1"/>
  <c r="U66" i="1"/>
  <c r="U67" i="1"/>
  <c r="U68" i="1"/>
  <c r="U69" i="1"/>
  <c r="U70" i="1"/>
  <c r="U71" i="1"/>
  <c r="U73" i="1"/>
  <c r="U74" i="1"/>
  <c r="U75" i="1"/>
  <c r="U79" i="1"/>
  <c r="U80" i="1"/>
  <c r="U82" i="1"/>
  <c r="U83" i="1"/>
  <c r="U85" i="1"/>
  <c r="U86" i="1"/>
  <c r="U87" i="1"/>
  <c r="U88" i="1"/>
  <c r="U89" i="1"/>
  <c r="U90" i="1"/>
  <c r="U91" i="1"/>
  <c r="U92" i="1"/>
  <c r="U93" i="1"/>
  <c r="U94" i="1"/>
  <c r="U95" i="1"/>
  <c r="U96" i="1"/>
  <c r="U97" i="1"/>
  <c r="U99" i="1"/>
  <c r="U100" i="1"/>
  <c r="U101" i="1"/>
  <c r="U102" i="1"/>
  <c r="U103" i="1"/>
  <c r="U109" i="1"/>
  <c r="U110" i="1"/>
  <c r="U111" i="1"/>
  <c r="U112" i="1"/>
  <c r="U113" i="1"/>
  <c r="U114" i="1"/>
  <c r="T98" i="1"/>
  <c r="V98" i="1" s="1"/>
  <c r="K8" i="4"/>
  <c r="BH4" i="4"/>
  <c r="BQ5" i="4"/>
  <c r="E10" i="4"/>
  <c r="U98" i="1" l="1"/>
  <c r="V3" i="1"/>
  <c r="V5" i="1"/>
  <c r="V7" i="1"/>
  <c r="V8" i="1"/>
  <c r="V9" i="1"/>
  <c r="V10" i="1"/>
  <c r="V12" i="1"/>
  <c r="V13" i="1"/>
  <c r="V14" i="1"/>
  <c r="V17" i="1"/>
  <c r="V19" i="1"/>
  <c r="V20" i="1"/>
  <c r="V22" i="1"/>
  <c r="V23" i="1"/>
  <c r="V24" i="1"/>
  <c r="V25" i="1"/>
  <c r="V26" i="1"/>
  <c r="V28" i="1"/>
  <c r="V29" i="1"/>
  <c r="V32" i="1"/>
  <c r="V33" i="1"/>
  <c r="V34" i="1"/>
  <c r="V36" i="1"/>
  <c r="V37" i="1"/>
  <c r="V38" i="1"/>
  <c r="V39" i="1"/>
  <c r="V40" i="1"/>
  <c r="V42" i="1"/>
  <c r="V43" i="1"/>
  <c r="V44" i="1"/>
  <c r="V45" i="1"/>
  <c r="V46" i="1"/>
  <c r="V47" i="1"/>
  <c r="V48" i="1"/>
  <c r="V50" i="1"/>
  <c r="V51" i="1"/>
  <c r="V52" i="1"/>
  <c r="V54" i="1"/>
  <c r="V55" i="1"/>
  <c r="V56" i="1"/>
  <c r="V57" i="1"/>
  <c r="V58" i="1"/>
  <c r="V59" i="1"/>
  <c r="V60" i="1"/>
  <c r="V61" i="1"/>
  <c r="V62" i="1"/>
  <c r="V64" i="1"/>
  <c r="V66" i="1"/>
  <c r="V67" i="1"/>
  <c r="V68" i="1"/>
  <c r="V69" i="1"/>
  <c r="V70" i="1"/>
  <c r="V71" i="1"/>
  <c r="V73" i="1"/>
  <c r="V74" i="1"/>
  <c r="V75" i="1"/>
  <c r="V76" i="1"/>
  <c r="V77" i="1"/>
  <c r="V78" i="1"/>
  <c r="V79" i="1"/>
  <c r="V80" i="1"/>
  <c r="V82" i="1"/>
  <c r="V83" i="1"/>
  <c r="V85" i="1"/>
  <c r="V86" i="1"/>
  <c r="V87" i="1"/>
  <c r="V88" i="1"/>
  <c r="V89" i="1"/>
  <c r="V90" i="1"/>
  <c r="V91" i="1"/>
  <c r="V92" i="1"/>
  <c r="V93" i="1"/>
  <c r="V94" i="1"/>
  <c r="V95" i="1"/>
  <c r="V96" i="1"/>
  <c r="V97" i="1"/>
  <c r="V99" i="1"/>
  <c r="V100" i="1"/>
  <c r="V101" i="1"/>
  <c r="V102" i="1"/>
  <c r="V103" i="1"/>
  <c r="V109" i="1"/>
  <c r="V110" i="1"/>
  <c r="V111" i="1"/>
  <c r="V112" i="1"/>
  <c r="V113" i="1"/>
  <c r="V114" i="1"/>
  <c r="V2" i="1"/>
  <c r="S63" i="1"/>
  <c r="S62" i="1"/>
  <c r="U62" i="1" s="1"/>
  <c r="S51" i="1"/>
  <c r="U51" i="1" s="1"/>
  <c r="S50" i="1"/>
  <c r="U50" i="1" s="1"/>
  <c r="S49" i="1"/>
  <c r="S48" i="1"/>
  <c r="U48" i="1" s="1"/>
  <c r="S46" i="1"/>
  <c r="S47" i="1"/>
  <c r="U47" i="1" s="1"/>
  <c r="S72" i="1"/>
  <c r="S4" i="1"/>
  <c r="S3" i="1"/>
  <c r="U3" i="1" s="1"/>
  <c r="S59" i="1"/>
  <c r="U59" i="1" s="1"/>
  <c r="S58" i="1"/>
  <c r="U58" i="1" s="1"/>
  <c r="S57" i="1"/>
  <c r="U57" i="1" s="1"/>
  <c r="S56" i="1"/>
  <c r="U56" i="1" s="1"/>
  <c r="S55" i="1"/>
  <c r="U55" i="1" s="1"/>
  <c r="S54" i="1"/>
  <c r="U54" i="1" s="1"/>
  <c r="S53" i="1"/>
  <c r="S52" i="1"/>
  <c r="U52" i="1" s="1"/>
  <c r="S78" i="1"/>
  <c r="U78" i="1" s="1"/>
  <c r="S76" i="1"/>
  <c r="U76" i="1" s="1"/>
  <c r="S77" i="1"/>
  <c r="U77" i="1" s="1"/>
  <c r="S81" i="1"/>
  <c r="S2" i="1"/>
  <c r="U2" i="1" s="1"/>
  <c r="T41" i="1"/>
  <c r="T30" i="1"/>
  <c r="U46" i="1" l="1"/>
  <c r="R129" i="1" a="1"/>
  <c r="R129" i="1" s="1"/>
  <c r="V41" i="1"/>
  <c r="U41" i="1"/>
  <c r="V30" i="1"/>
  <c r="U129" i="1" s="1"/>
  <c r="U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<sst xmlns="http://schemas.openxmlformats.org/spreadsheetml/2006/main" count="1374" uniqueCount="302">
  <si>
    <t>أسم العميل</t>
  </si>
  <si>
    <t>العنوان</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</si>
  <si>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</si>
  <si>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</si>
  <si>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</si>
  <si>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</si>
  <si>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</si>
  <si>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</si>
  <si>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</si>
  <si>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</si>
  <si>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</si>
  <si>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</si>
  <si>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مسبق الدفع</t>
  </si>
  <si>
    <t>محمود</t>
  </si>
  <si>
    <t>سموحه - اسكندريه</t>
  </si>
  <si>
    <t>سعيد</t>
  </si>
  <si>
    <t>ساندرا</t>
  </si>
  <si>
    <t xml:space="preserve">ترابيزه قهوه متحركه </t>
  </si>
  <si>
    <t xml:space="preserve">زينا </t>
  </si>
  <si>
    <t xml:space="preserve">احمد </t>
  </si>
  <si>
    <t>التجمع الخامس</t>
  </si>
  <si>
    <t>فيس بوك</t>
  </si>
  <si>
    <t>yilmaz</t>
  </si>
  <si>
    <t xml:space="preserve">٦ اكتوبر الجيزه </t>
  </si>
  <si>
    <t>العباسيه</t>
  </si>
  <si>
    <t>تاكى</t>
  </si>
  <si>
    <t>٢ كنبه سحاره بمخدع</t>
  </si>
  <si>
    <t xml:space="preserve">العباسيه </t>
  </si>
  <si>
    <t xml:space="preserve">٢ كنبه سحاره بدون مخدع </t>
  </si>
  <si>
    <t xml:space="preserve">على رشوان </t>
  </si>
  <si>
    <t>مصر الجديده</t>
  </si>
  <si>
    <t>شيك هومز</t>
  </si>
  <si>
    <t xml:space="preserve">فيصل نعيم </t>
  </si>
  <si>
    <t xml:space="preserve">التجمع الخامس </t>
  </si>
  <si>
    <t xml:space="preserve">اوسكار ريتن </t>
  </si>
  <si>
    <t>ellho elkafy</t>
  </si>
  <si>
    <t xml:space="preserve">مدينه نصر </t>
  </si>
  <si>
    <t xml:space="preserve">لينا </t>
  </si>
  <si>
    <t xml:space="preserve">المقطم </t>
  </si>
  <si>
    <t xml:space="preserve">ترابيزه قهوه علويه جديده </t>
  </si>
  <si>
    <t xml:space="preserve">٢ فوتيه فنيسيا </t>
  </si>
  <si>
    <t xml:space="preserve">احمد فخرى </t>
  </si>
  <si>
    <t>القاهره الجديده</t>
  </si>
  <si>
    <t>حسن حازم</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</si>
  <si>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</si>
  <si>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</si>
  <si>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</si>
  <si>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</si>
  <si>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</si>
  <si>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</si>
  <si>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عبير نور الدين</t>
  </si>
  <si>
    <t xml:space="preserve">١٨ شارع البحيري بولاق الدكرور الجيزه </t>
  </si>
  <si>
    <t>اوسكار راتن</t>
  </si>
  <si>
    <t xml:space="preserve">مخزن اوسكار في القناطر </t>
  </si>
  <si>
    <t>حساب شركه</t>
  </si>
  <si>
    <t>الشروق</t>
  </si>
  <si>
    <t xml:space="preserve">ساره وجيه </t>
  </si>
  <si>
    <t xml:space="preserve">مها </t>
  </si>
  <si>
    <t xml:space="preserve">لافيستا العين السخنه </t>
  </si>
  <si>
    <t xml:space="preserve">اسراء ابو العنين </t>
  </si>
  <si>
    <t xml:space="preserve">بسام الشربينى </t>
  </si>
  <si>
    <t>وائل صادق</t>
  </si>
  <si>
    <t xml:space="preserve">هبه عبد الفتاح </t>
  </si>
  <si>
    <t xml:space="preserve">القاهره الجديده </t>
  </si>
  <si>
    <t xml:space="preserve">حاتم العيسوي </t>
  </si>
  <si>
    <t>صفاء</t>
  </si>
  <si>
    <t>المعادى</t>
  </si>
  <si>
    <t xml:space="preserve">اسراء ابراهيم </t>
  </si>
  <si>
    <t xml:space="preserve">طارق كمال </t>
  </si>
  <si>
    <t xml:space="preserve">مصطفي غنيم </t>
  </si>
  <si>
    <t xml:space="preserve">مسبق الدفع </t>
  </si>
  <si>
    <t>حسام عبدون</t>
  </si>
  <si>
    <t>الغردقه</t>
  </si>
  <si>
    <t xml:space="preserve">اياد </t>
  </si>
  <si>
    <t>ميار خورشد</t>
  </si>
  <si>
    <t xml:space="preserve">عبد الله سيد </t>
  </si>
  <si>
    <t xml:space="preserve">الشيخ زايد ٦ اكتوبر </t>
  </si>
  <si>
    <t xml:space="preserve">كينج سونا </t>
  </si>
  <si>
    <t xml:space="preserve">رامى </t>
  </si>
  <si>
    <t xml:space="preserve">احمد خالد </t>
  </si>
  <si>
    <t>الرحاب</t>
  </si>
  <si>
    <t>ساره</t>
  </si>
  <si>
    <t>رحاب</t>
  </si>
  <si>
    <t xml:space="preserve">احمد ايمن </t>
  </si>
  <si>
    <t>العبور</t>
  </si>
  <si>
    <t xml:space="preserve">فؤاد المنسي </t>
  </si>
  <si>
    <t xml:space="preserve">ديفد بهجت </t>
  </si>
  <si>
    <t>فيصل الجيزه</t>
  </si>
  <si>
    <t xml:space="preserve">حسن مغرب </t>
  </si>
  <si>
    <t>صفاء الحكيم</t>
  </si>
  <si>
    <t>العين السخنه</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</si>
  <si>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</si>
  <si>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</si>
  <si>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</si>
  <si>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</si>
  <si>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</si>
  <si>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</si>
  <si>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</si>
  <si>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</si>
  <si>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</si>
  <si>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</si>
  <si>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سحارة</t>
  </si>
  <si>
    <t>ركنة بسرير</t>
  </si>
  <si>
    <t>كنبة</t>
  </si>
  <si>
    <t>كرسى</t>
  </si>
  <si>
    <t>4*1</t>
  </si>
  <si>
    <t>دورين</t>
  </si>
  <si>
    <t xml:space="preserve">كنبة </t>
  </si>
  <si>
    <t>ابيض</t>
  </si>
  <si>
    <t>اسود</t>
  </si>
  <si>
    <t>ارفيل</t>
  </si>
  <si>
    <t>ازرق</t>
  </si>
  <si>
    <t>ثلاثه ادوار</t>
  </si>
  <si>
    <t>رمادى</t>
  </si>
  <si>
    <t>بنفسجى</t>
  </si>
  <si>
    <t>المقاس</t>
  </si>
  <si>
    <t>دهبي</t>
  </si>
  <si>
    <t>فورجينا</t>
  </si>
  <si>
    <t>كورين</t>
  </si>
  <si>
    <t>لون القماش</t>
  </si>
  <si>
    <t>mohannad</t>
  </si>
  <si>
    <t>EL-Maadi</t>
  </si>
  <si>
    <t>Mohamed Ayman</t>
  </si>
  <si>
    <t>Madinet Badr</t>
  </si>
  <si>
    <t>2 ميكانزم</t>
  </si>
  <si>
    <t>بمكتبة</t>
  </si>
  <si>
    <t>رف سحاب</t>
  </si>
  <si>
    <t>الحالة</t>
  </si>
  <si>
    <t>اسامه</t>
  </si>
  <si>
    <t>تم التسليم</t>
  </si>
  <si>
    <t xml:space="preserve">المخزن ابو الغيط </t>
  </si>
  <si>
    <t>ولاء بدوى</t>
  </si>
  <si>
    <t>عبد الرحمن يسري</t>
  </si>
  <si>
    <t>اكتوبر الجيزه</t>
  </si>
  <si>
    <t>مرتجع</t>
  </si>
  <si>
    <t>الحج محمد السويس</t>
  </si>
  <si>
    <t xml:space="preserve">السويس </t>
  </si>
  <si>
    <t>فانتاستك</t>
  </si>
  <si>
    <t>ملون</t>
  </si>
  <si>
    <t>فنيسيا</t>
  </si>
  <si>
    <t>بيج</t>
  </si>
  <si>
    <t>شيزلونج</t>
  </si>
  <si>
    <t xml:space="preserve">نبيتى </t>
  </si>
  <si>
    <t>عمرو الأسود</t>
  </si>
  <si>
    <t>الزمالك</t>
  </si>
  <si>
    <t>مخزن شيك هومز</t>
  </si>
  <si>
    <t xml:space="preserve">بترولى </t>
  </si>
  <si>
    <t xml:space="preserve">أكتوبر </t>
  </si>
  <si>
    <t>التجمع</t>
  </si>
  <si>
    <t>keira</t>
  </si>
  <si>
    <t xml:space="preserve">نوفال </t>
  </si>
  <si>
    <t>بينك</t>
  </si>
  <si>
    <t>tarek</t>
  </si>
  <si>
    <t>reem</t>
  </si>
  <si>
    <t>البطاش اسكندريه</t>
  </si>
  <si>
    <t>هشام سامى</t>
  </si>
  <si>
    <t>41 كومبوند جولدن جستس الدور 4 شقه 4</t>
  </si>
  <si>
    <t>بلحه</t>
  </si>
  <si>
    <t>فانتستيك</t>
  </si>
  <si>
    <t>المعرض مدينه نصر</t>
  </si>
  <si>
    <t>فاطمه محمد</t>
  </si>
  <si>
    <t>أكتوبر الجيزه</t>
  </si>
  <si>
    <t>الشيخ زايد اكتوبر</t>
  </si>
  <si>
    <t xml:space="preserve">محمد شكرى </t>
  </si>
  <si>
    <t>ارينا</t>
  </si>
  <si>
    <t>بترولى</t>
  </si>
  <si>
    <t>منزلى</t>
  </si>
  <si>
    <t>مدينتى</t>
  </si>
  <si>
    <t>حماده</t>
  </si>
  <si>
    <t>صفاء عبد الباقي</t>
  </si>
  <si>
    <t xml:space="preserve">كينج </t>
  </si>
  <si>
    <t>المخزن</t>
  </si>
  <si>
    <t xml:space="preserve">دورين </t>
  </si>
  <si>
    <t xml:space="preserve">رندا العامرى </t>
  </si>
  <si>
    <t xml:space="preserve">كيمت </t>
  </si>
  <si>
    <t xml:space="preserve">كيفنج </t>
  </si>
  <si>
    <t>٦ اكتوبر الجيزه</t>
  </si>
  <si>
    <t xml:space="preserve">فردى </t>
  </si>
  <si>
    <t>امريكى</t>
  </si>
  <si>
    <t>محمد حمدى</t>
  </si>
  <si>
    <t xml:space="preserve">كوين </t>
  </si>
  <si>
    <t xml:space="preserve">بافلى هانى </t>
  </si>
  <si>
    <t xml:space="preserve">شبرا </t>
  </si>
  <si>
    <t xml:space="preserve">اسبانى </t>
  </si>
  <si>
    <t>رنا ميلاد</t>
  </si>
  <si>
    <t xml:space="preserve">جليم الإسكندرية </t>
  </si>
  <si>
    <t>ترابيزه</t>
  </si>
  <si>
    <t>مكتبه</t>
  </si>
  <si>
    <t>محمد ناجى</t>
  </si>
  <si>
    <t>ميكانزم</t>
  </si>
  <si>
    <t>احمد عبد الستار</t>
  </si>
  <si>
    <t>المندره اسكندريه</t>
  </si>
  <si>
    <t xml:space="preserve">نور </t>
  </si>
  <si>
    <t>نور</t>
  </si>
  <si>
    <t>تامر</t>
  </si>
  <si>
    <t xml:space="preserve">بيج </t>
  </si>
  <si>
    <t>هناء اسامه</t>
  </si>
  <si>
    <t>القطاميه</t>
  </si>
  <si>
    <t xml:space="preserve">محمد عادل </t>
  </si>
  <si>
    <t>مريم عنان</t>
  </si>
  <si>
    <t xml:space="preserve">اب تاون كايرو التجمع </t>
  </si>
  <si>
    <t xml:space="preserve">هبه عطيه </t>
  </si>
  <si>
    <t>حمدى ذكرى</t>
  </si>
  <si>
    <t>تصميم</t>
  </si>
  <si>
    <t xml:space="preserve"> الجيزه</t>
  </si>
  <si>
    <t xml:space="preserve"> اسكندريه</t>
  </si>
  <si>
    <t>القاهرة</t>
  </si>
  <si>
    <t>القناطر</t>
  </si>
  <si>
    <t>القليوبيه</t>
  </si>
  <si>
    <t>العاصمه الاداريه</t>
  </si>
  <si>
    <t>المحافظه</t>
  </si>
  <si>
    <t>ترابيزه قهوه ٢ رافع</t>
  </si>
  <si>
    <t xml:space="preserve">ترابيزه قهوه مرتفعه برف سحاب </t>
  </si>
  <si>
    <t xml:space="preserve"> شركه شحن </t>
  </si>
  <si>
    <t>محمود على</t>
  </si>
  <si>
    <t xml:space="preserve">م محمد </t>
  </si>
  <si>
    <t xml:space="preserve"> شركه شحن</t>
  </si>
  <si>
    <t xml:space="preserve">محمود على </t>
  </si>
  <si>
    <t>عدد أيام انتظار العميل</t>
  </si>
  <si>
    <t>عربون</t>
  </si>
  <si>
    <t>مسبق دفع عربون</t>
  </si>
  <si>
    <t>الكميه</t>
  </si>
  <si>
    <t>الدفع عند الاستلام</t>
  </si>
  <si>
    <t>ترشيح عميل</t>
  </si>
  <si>
    <t>T1</t>
  </si>
  <si>
    <t>بني</t>
  </si>
  <si>
    <t>رصاصي</t>
  </si>
  <si>
    <t>متحركه</t>
  </si>
  <si>
    <t>وصف المنتج</t>
  </si>
  <si>
    <t>اسم المنتج</t>
  </si>
  <si>
    <t>النوع</t>
  </si>
  <si>
    <t>لون المعدن</t>
  </si>
  <si>
    <t>Row Labels</t>
  </si>
  <si>
    <t>Grand Total</t>
  </si>
  <si>
    <t>Count of الحالة</t>
  </si>
  <si>
    <t>avg selling price</t>
  </si>
  <si>
    <t xml:space="preserve">Sum of سعر البيع </t>
  </si>
  <si>
    <t xml:space="preserve">Average of سعر البيع </t>
  </si>
  <si>
    <t>sales by platform</t>
  </si>
  <si>
    <t>best seller</t>
  </si>
  <si>
    <t>Sum of الكميه</t>
  </si>
  <si>
    <t xml:space="preserve">سريركيفينج مقاس 90 لون ازرق </t>
  </si>
  <si>
    <t xml:space="preserve">سريرنوفال متر رمادى </t>
  </si>
  <si>
    <t xml:space="preserve">كنبه سريررمادى </t>
  </si>
  <si>
    <t xml:space="preserve">سريركوين مقاس ١٤٠ دهبي ورمادى </t>
  </si>
  <si>
    <t xml:space="preserve">سريركيفنج ١٢٠ رمادى </t>
  </si>
  <si>
    <t>سريراستيل ازرق مقاس ١٤٠</t>
  </si>
  <si>
    <t xml:space="preserve">سريركينج ١٢٠ بنفسجى </t>
  </si>
  <si>
    <t xml:space="preserve">كنبه سرير٤ حركه </t>
  </si>
  <si>
    <t xml:space="preserve">سريركيفنج دورين مقاس ١٢٠ رمادى </t>
  </si>
  <si>
    <t xml:space="preserve">سريرنوفال ١٠٠ رمادى </t>
  </si>
  <si>
    <t>best color sold</t>
  </si>
  <si>
    <t>(blank)</t>
  </si>
  <si>
    <t>سريرمنطبق الحديد ابيضوالقماش ابيض</t>
  </si>
  <si>
    <t>سريرفردى ابيض</t>
  </si>
  <si>
    <t>سريرنوفال ابيضمقاس ٨٠</t>
  </si>
  <si>
    <t>سريرفردى خشب موسكى الحديد ابيضمقاس ٨٠</t>
  </si>
  <si>
    <t xml:space="preserve">سريركينج ابيضمقاس ٨٠ التصميم الجديد </t>
  </si>
  <si>
    <t>٤سريرفردى خشب موسكى الحديد ابيضمقاس ٨٠</t>
  </si>
  <si>
    <t>سريراسبانى ابيض١٢٠</t>
  </si>
  <si>
    <t>سريركينج ابيض</t>
  </si>
  <si>
    <t>٢ سريرفورجينا خشب موسكى ابيضمقاس ١٢٠</t>
  </si>
  <si>
    <t>سرير٣ ادوار ابيضمقاس ٨٠ ابيض</t>
  </si>
  <si>
    <t>سريركيفنج دورين مقاس ٨٠ ابيض</t>
  </si>
  <si>
    <t xml:space="preserve"> ٢. سريرفورجينا ابيضمقاس ١٢٠</t>
  </si>
  <si>
    <t xml:space="preserve">   ٢. سريراسبانى ابيض١٢٠</t>
  </si>
  <si>
    <t>سريرنوفال مقاس ٨٠ ابيض</t>
  </si>
  <si>
    <t>سريرمنطبقاسودوالقماشاسود</t>
  </si>
  <si>
    <t>٢ سريركيفنج ١٢٠اسود</t>
  </si>
  <si>
    <t>سريركينجاسود</t>
  </si>
  <si>
    <t>٢ سريرارفيل ١٢٠اسود</t>
  </si>
  <si>
    <t>سريرمنطببقاسودوقماشاسود</t>
  </si>
  <si>
    <t>سريرمنطبقاسودحديد وقماش</t>
  </si>
  <si>
    <t xml:space="preserve">سرير٣ ادورااسودمقاس ١٠٠ </t>
  </si>
  <si>
    <t>سريراسبانىاسودمقاس ١٢٠</t>
  </si>
  <si>
    <t>سريرنوفال  ٩٠اسود</t>
  </si>
  <si>
    <t xml:space="preserve">            ٢ سريركيفنج ١٠٠اسود</t>
  </si>
  <si>
    <t xml:space="preserve">سرير٣ ادواراسودمقاس ٩٠ </t>
  </si>
  <si>
    <t xml:space="preserve">سريرمنطبقاسودحديد ومعدن </t>
  </si>
  <si>
    <t xml:space="preserve">سريراسبانى  ١٤٠اسودوبيج </t>
  </si>
  <si>
    <t>Delivery Performance</t>
  </si>
  <si>
    <t>cancelled</t>
  </si>
  <si>
    <t>On-time Delivery Rate</t>
  </si>
  <si>
    <t>late</t>
  </si>
  <si>
    <t>on time</t>
  </si>
  <si>
    <t>Count of Delivery Performance</t>
  </si>
  <si>
    <t>Delivery Status Breakdown</t>
  </si>
  <si>
    <t>Orders by Area</t>
  </si>
  <si>
    <t>اسيوط</t>
  </si>
  <si>
    <t xml:space="preserve">سيدى عبد الرحمن -الساحل الشمالي </t>
  </si>
  <si>
    <t>الساحل الشمالي</t>
  </si>
  <si>
    <t xml:space="preserve">number of companies we deal with </t>
  </si>
  <si>
    <t xml:space="preserve">number of persons we deal with </t>
  </si>
  <si>
    <t>Total sales</t>
  </si>
  <si>
    <t>total orders</t>
  </si>
  <si>
    <t>Sales over the year</t>
  </si>
  <si>
    <t>Aug</t>
  </si>
  <si>
    <t>trimmed</t>
  </si>
  <si>
    <t>نوع العميل</t>
  </si>
  <si>
    <t>افراد</t>
  </si>
  <si>
    <t>شركات</t>
  </si>
  <si>
    <t>Count of نوع العميل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</si>
</sst>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_(&quot;$&quot;* #,##0_);_(&quot;$&quot;* \(#,##0\);_(&quot;$&quot;* &quot;-&quot;??_);_(@_)"/>
  </numFmts>
  <fonts count="10" x14ac:knownFonts="1">
    <font>
      <sz val="11"/>
      <color theme="1"/>
      <name val="Calibri"/>
      <family val="2"/>
      <scheme val="minor"/>
    </font>
    <font>
      <b/>
      <sz val="12"/>
      <color theme="1"/>
      <name val="Calibri"/>
      <family val="2"/>
      <scheme val="minor"/>
    </font>
    <font>
      <sz val="11"/>
      <name val="Calibri"/>
      <family val="2"/>
      <scheme val="minor"/>
    </font>
    <font>
      <sz val="10"/>
      <name val="Arial"/>
      <family val="2"/>
    </font>
    <font>
      <b/>
      <sz val="14"/>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1"/>
      <name val="Calibri"/>
      <family val="2"/>
      <scheme val="minor"/>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9"/>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164" fontId="9" fillId="0" borderId="0" applyFont="0" applyFill="0" applyBorder="0" applyAlignment="0" applyProtection="0"/>
  </cellStyleXfs>
  <cellXfs count="55">
    <xf numFmtId="0" fontId="0" fillId="0" borderId="0" xfId="0"/>
    <xf numFmtId="0" fontId="0" fillId="0" borderId="0" xfId="0" applyAlignment="1">
      <alignment horizontal="right"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4" fontId="2" fillId="5"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1" fillId="0" borderId="0" xfId="0" applyFont="1"/>
    <xf numFmtId="0" fontId="0" fillId="0" borderId="0" xfId="0" applyAlignment="1">
      <alignment horizontal="center" vertical="center"/>
    </xf>
    <xf numFmtId="0" fontId="3" fillId="5" borderId="1" xfId="0" applyFont="1" applyFill="1" applyBorder="1" applyAlignment="1">
      <alignment horizontal="center" vertical="center"/>
    </xf>
    <xf numFmtId="1" fontId="6" fillId="3" borderId="1" xfId="0" applyNumberFormat="1" applyFont="1" applyFill="1" applyBorder="1" applyAlignment="1">
      <alignment horizontal="center" vertical="center"/>
    </xf>
    <xf numFmtId="1" fontId="6" fillId="5"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1" fontId="5" fillId="0" borderId="0" xfId="0" applyNumberFormat="1" applyFont="1" applyAlignment="1">
      <alignment horizontal="center" vertical="center"/>
    </xf>
    <xf numFmtId="14" fontId="0" fillId="0" borderId="0" xfId="0" applyNumberFormat="1" applyAlignment="1">
      <alignment horizontal="center" vertical="center"/>
    </xf>
    <xf numFmtId="0" fontId="2" fillId="0" borderId="1" xfId="0" applyFont="1" applyBorder="1" applyAlignment="1">
      <alignment horizontal="center" vertical="center"/>
    </xf>
    <xf numFmtId="1" fontId="6"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 fontId="0" fillId="0" borderId="0" xfId="0" applyNumberFormat="1" applyAlignment="1">
      <alignment horizontal="center" vertical="center"/>
    </xf>
    <xf numFmtId="1" fontId="2" fillId="5" borderId="1" xfId="0" applyNumberFormat="1" applyFont="1" applyFill="1" applyBorder="1" applyAlignment="1">
      <alignment horizontal="center" vertical="center"/>
    </xf>
    <xf numFmtId="1" fontId="2" fillId="4"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1" fontId="2" fillId="5" borderId="2" xfId="0" applyNumberFormat="1" applyFont="1" applyFill="1" applyBorder="1" applyAlignment="1">
      <alignment horizontal="center" vertical="center"/>
    </xf>
    <xf numFmtId="14" fontId="2" fillId="5" borderId="2"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xf>
    <xf numFmtId="49" fontId="0" fillId="5" borderId="0" xfId="0" applyNumberFormat="1" applyFill="1" applyAlignment="1">
      <alignment horizontal="center" vertical="center"/>
    </xf>
    <xf numFmtId="49" fontId="0" fillId="4" borderId="1" xfId="0" applyNumberFormat="1" applyFill="1" applyBorder="1" applyAlignment="1">
      <alignment horizontal="center" vertical="center"/>
    </xf>
    <xf numFmtId="49" fontId="2" fillId="4"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0" fillId="5" borderId="1" xfId="0" applyNumberFormat="1" applyFill="1" applyBorder="1" applyAlignment="1">
      <alignment horizontal="center" vertical="center"/>
    </xf>
    <xf numFmtId="49" fontId="0" fillId="3" borderId="1" xfId="0" applyNumberFormat="1" applyFill="1" applyBorder="1" applyAlignment="1">
      <alignment horizontal="center" vertical="center"/>
    </xf>
    <xf numFmtId="49" fontId="2" fillId="0" borderId="1" xfId="0" applyNumberFormat="1" applyFont="1" applyBorder="1" applyAlignment="1">
      <alignment horizontal="center" vertical="center"/>
    </xf>
    <xf numFmtId="49" fontId="0" fillId="0" borderId="0" xfId="0" applyNumberFormat="1" applyAlignment="1">
      <alignment horizontal="center" vertical="center"/>
    </xf>
    <xf numFmtId="1" fontId="2" fillId="0" borderId="1" xfId="0" applyNumberFormat="1" applyFont="1" applyBorder="1" applyAlignment="1">
      <alignment horizontal="center" vertical="center"/>
    </xf>
    <xf numFmtId="0" fontId="2" fillId="5" borderId="3" xfId="0" applyFont="1" applyFill="1" applyBorder="1" applyAlignment="1">
      <alignment horizontal="center" vertical="center"/>
    </xf>
    <xf numFmtId="0" fontId="2" fillId="4" borderId="3" xfId="0" applyFont="1" applyFill="1" applyBorder="1" applyAlignment="1">
      <alignment horizontal="center" vertical="center"/>
    </xf>
    <xf numFmtId="0" fontId="2" fillId="3" borderId="3" xfId="0" applyFont="1" applyFill="1" applyBorder="1" applyAlignment="1">
      <alignment horizontal="center" vertical="center"/>
    </xf>
    <xf numFmtId="0" fontId="8" fillId="5" borderId="3" xfId="0" applyFont="1" applyFill="1" applyBorder="1" applyAlignment="1">
      <alignment horizontal="center" vertical="center"/>
    </xf>
    <xf numFmtId="0" fontId="7" fillId="2" borderId="4" xfId="0" applyFont="1" applyFill="1" applyBorder="1" applyAlignment="1">
      <alignment horizontal="center" vertical="center"/>
    </xf>
    <xf numFmtId="1" fontId="7" fillId="2" borderId="4" xfId="0" applyNumberFormat="1" applyFont="1" applyFill="1" applyBorder="1" applyAlignment="1">
      <alignment horizontal="center" vertical="center"/>
    </xf>
    <xf numFmtId="49" fontId="7" fillId="2" borderId="4" xfId="0" applyNumberFormat="1" applyFont="1" applyFill="1" applyBorder="1" applyAlignment="1">
      <alignment horizontal="center" vertical="center"/>
    </xf>
    <xf numFmtId="14" fontId="7" fillId="2" borderId="4" xfId="0" applyNumberFormat="1" applyFont="1" applyFill="1" applyBorder="1" applyAlignment="1">
      <alignment horizontal="center" vertical="center"/>
    </xf>
    <xf numFmtId="0" fontId="2" fillId="0" borderId="5" xfId="0" applyFont="1" applyBorder="1" applyAlignment="1">
      <alignment horizontal="center" vertical="center"/>
    </xf>
    <xf numFmtId="0" fontId="4" fillId="6" borderId="0" xfId="0" applyFont="1" applyFill="1" applyAlignment="1">
      <alignment horizontal="center"/>
    </xf>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0" fontId="0" fillId="0" borderId="0" xfId="0" applyNumberFormat="1"/>
    <xf numFmtId="10" fontId="0" fillId="0" borderId="0" xfId="0" applyNumberFormat="1" applyAlignment="1">
      <alignment horizontal="left"/>
    </xf>
    <xf numFmtId="165" fontId="0" fillId="0" borderId="0" xfId="1" applyNumberFormat="1" applyFont="1"/>
    <xf numFmtId="0" fontId="0" fillId="2" borderId="0" xfId="0" applyFill="1"/>
    <xf numFmtId="0" fontId="4" fillId="6" borderId="0" xfId="0" applyFont="1" applyFill="1" applyAlignment="1">
      <alignment horizontal="center"/>
    </xf>
    <xf numFmtId="0" fontId="0" fillId="0" borderId="0" xfId="0" applyNumberFormat="1"/>
  </cellXfs>
  <cellStyles count="2">
    <cellStyle name="Currency" xfId="1" builtinId="4"/>
    <cellStyle name="Normal" xfId="0" builtinId="0"/>
  </cellStyles>
  <dxfs count="67">
    <dxf>
      <numFmt numFmtId="165" formatCode="_(&quot;$&quot;* #,##0_);_(&quot;$&quot;* \(#,##0\);_(&quot;$&quot;* &quot;-&quot;??_);_(@_)"/>
    </dxf>
    <dxf>
      <numFmt numFmtId="1" formatCode="0"/>
    </dxf>
    <dxf>
      <numFmt numFmtId="1" formatCode="0"/>
    </dxf>
    <dxf>
      <numFmt numFmtId="14" formatCode="0.00%"/>
    </dxf>
    <dxf>
      <numFmt numFmtId="165" formatCode="_(&quot;$&quot;* #,##0_);_(&quot;$&quot;* \(#,##0\);_(&quot;$&quot;* &quot;-&quot;??_);_(@_)"/>
    </dxf>
    <dxf>
      <numFmt numFmtId="165" formatCode="_(&quot;$&quot;* #,##0_);_(&quot;$&quot;* \(#,##0\);_(&quot;$&quot;* &quot;-&quot;??_);_(@_)"/>
    </dxf>
    <dxf>
      <numFmt numFmtId="1" formatCode="0"/>
    </dxf>
    <dxf>
      <numFmt numFmtId="1" formatCode="0"/>
    </dxf>
    <dxf>
      <numFmt numFmtId="1" formatCode="0"/>
    </dxf>
    <dxf>
      <numFmt numFmtId="14" formatCode="0.00%"/>
    </dxf>
    <dxf>
      <numFmt numFmtId="165" formatCode="_(&quot;$&quot;* #,##0_);_(&quot;$&quot;* \(#,##0\);_(&quot;$&quot;* &quot;-&quot;??_);_(@_)"/>
    </dxf>
    <dxf>
      <numFmt numFmtId="1" formatCode="0"/>
    </dxf>
    <dxf>
      <numFmt numFmtId="1" formatCode="0"/>
    </dxf>
    <dxf>
      <numFmt numFmtId="165" formatCode="_(&quot;$&quot;* #,##0_);_(&quot;$&quot;* \(#,##0\);_(&quot;$&quot;* &quot;-&quot;??_);_(@_)"/>
    </dxf>
    <dxf>
      <numFmt numFmtId="14" formatCode="0.00%"/>
    </dxf>
    <dxf>
      <numFmt numFmtId="1" formatCode="0"/>
    </dxf>
    <dxf>
      <numFmt numFmtId="1" formatCode="0"/>
    </dxf>
    <dxf>
      <numFmt numFmtId="1" formatCode="0"/>
    </dxf>
    <dxf>
      <numFmt numFmtId="165" formatCode="_(&quot;$&quot;* #,##0_);_(&quot;$&quot;* \(#,##0\);_(&quot;$&quot;* &quot;-&quot;??_);_(@_)"/>
    </dxf>
    <dxf>
      <numFmt numFmtId="165" formatCode="_(&quot;$&quot;* #,##0_);_(&quot;$&quot;* \(#,##0\);_(&quot;$&quot;* &quot;-&quot;??_);_(@_)"/>
    </dxf>
    <dxf>
      <numFmt numFmtId="14" formatCode="0.00%"/>
    </dxf>
    <dxf>
      <numFmt numFmtId="1" formatCode="0"/>
    </dxf>
    <dxf>
      <numFmt numFmtId="1" formatCode="0"/>
    </dxf>
    <dxf>
      <numFmt numFmtId="165" formatCode="_(&quot;$&quot;* #,##0_);_(&quot;$&quot;* \(#,##0\);_(&quot;$&quot;* &quot;-&quot;??_);_(@_)"/>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6" formatCode="m/d/yyyy"/>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6" formatCode="m/d/yyyy"/>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6" formatCode="m/d/yyyy"/>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numFmt numFmtId="1" formatCode="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numFmt numFmtId="1" formatCode="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numFmt numFmtId="1" formatCode="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numFmt numFmtId="166" formatCode="m/d/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rgb="FF2F2FE4"/>
      </font>
      <fill>
        <patternFill>
          <fgColor rgb="FF2F2F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u val="none"/>
        <color rgb="FF2F2FE4"/>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rgb="FF2F2FE4"/>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rgb="FF2F2FE4"/>
      </font>
      <border>
        <left style="thin">
          <color theme="4"/>
        </left>
        <right style="thin">
          <color theme="4"/>
        </right>
        <top style="thin">
          <color theme="4"/>
        </top>
        <bottom style="thin">
          <color theme="4"/>
        </bottom>
        <vertical/>
        <horizontal/>
      </border>
    </dxf>
    <dxf>
      <font>
        <color rgb="FF2F2FE4"/>
      </font>
      <fill>
        <patternFill>
          <fgColor rgb="FF2F2FE4"/>
        </patternFill>
      </fill>
    </dxf>
    <dxf>
      <font>
        <color theme="0"/>
      </font>
      <fill>
        <gradientFill type="path">
          <stop position="0">
            <color rgb="FF2F2FE4"/>
          </stop>
          <stop position="1">
            <color rgb="FF2F2FE4"/>
          </stop>
        </gradientFill>
      </fill>
      <border diagonalUp="0" diagonalDown="0">
        <left/>
        <right/>
        <top/>
        <bottom/>
        <vertical/>
        <horizontal/>
      </border>
    </dxf>
    <dxf>
      <font>
        <color theme="0"/>
      </font>
      <fill>
        <gradientFill type="path">
          <stop position="0">
            <color rgb="FF080616"/>
          </stop>
          <stop position="1">
            <color auto="1"/>
          </stop>
        </gradientFill>
      </fill>
      <border diagonalUp="0" diagonalDown="0">
        <left/>
        <right/>
        <top/>
        <bottom/>
        <vertical/>
        <horizontal/>
      </border>
    </dxf>
    <dxf>
      <font>
        <color theme="0"/>
      </font>
      <fill>
        <gradientFill degree="90">
          <stop position="0">
            <color rgb="FF2F2FE4"/>
          </stop>
          <stop position="1">
            <color rgb="FF2F2FE4"/>
          </stop>
        </gradientFill>
      </fill>
      <border diagonalUp="0" diagonalDown="0">
        <left/>
        <right/>
        <top/>
        <bottom/>
        <vertical/>
        <horizontal/>
      </border>
    </dxf>
    <dxf>
      <font>
        <color theme="0"/>
      </font>
      <fill>
        <gradientFill degree="90">
          <stop position="0">
            <color rgb="FF2F2FE4"/>
          </stop>
          <stop position="1">
            <color rgb="FF2F2FE4"/>
          </stop>
        </gradientFill>
      </fill>
      <border diagonalUp="0" diagonalDown="0">
        <left/>
        <right/>
        <top/>
        <bottom/>
        <vertical/>
        <horizontal/>
      </border>
    </dxf>
    <dxf>
      <font>
        <color theme="0"/>
      </font>
      <fill>
        <gradientFill degree="90">
          <stop position="0">
            <color rgb="FF2F2FE4"/>
          </stop>
          <stop position="1">
            <color rgb="FF2F2FE4"/>
          </stop>
        </gradientFill>
      </fill>
      <border diagonalUp="0" diagonalDown="0">
        <left/>
        <right/>
        <top/>
        <bottom/>
        <vertical/>
        <horizontal/>
      </border>
    </dxf>
    <dxf>
      <font>
        <color theme="0"/>
      </font>
      <fill>
        <patternFill>
          <bgColor rgb="FF182540"/>
        </patternFill>
      </fill>
      <border diagonalUp="0" diagonalDown="0">
        <left/>
        <right/>
        <top/>
        <bottom/>
        <vertical/>
        <horizontal/>
      </border>
    </dxf>
  </dxfs>
  <tableStyles count="12" defaultTableStyle="TableStyleMedium2" defaultPivotStyle="PivotStyleLight16">
    <tableStyle name="Invisible" pivot="0" table="0" count="0" xr9:uid="{AA73528B-8D85-432A-9172-AA70B5E8C669}"/>
    <tableStyle name="Slicer Style 1" pivot="0" table="0" count="1" xr9:uid="{8C10410C-CF1B-4A64-9738-ECC760E0ABE0}">
      <tableStyleElement type="wholeTable" dxfId="66"/>
    </tableStyle>
    <tableStyle name="Slicer Style 1 2" pivot="0" table="0" count="1" xr9:uid="{9E30EC11-9B16-4EEC-9740-BB0B373E8F4A}">
      <tableStyleElement type="wholeTable" dxfId="65"/>
    </tableStyle>
    <tableStyle name="Slicer Style 1 2 2" pivot="0" table="0" count="1" xr9:uid="{F06A05CA-C6A4-4B12-9EBE-343732479E50}">
      <tableStyleElement type="wholeTable" dxfId="64"/>
    </tableStyle>
    <tableStyle name="Slicer Style 1 2 2 2" pivot="0" table="0" count="2" xr9:uid="{A110D25D-C478-4F05-8E91-0870E5C66618}">
      <tableStyleElement type="wholeTable" dxfId="63"/>
    </tableStyle>
    <tableStyle name="Slicer Style 1 2 2 3" pivot="0" table="0" count="1" xr9:uid="{AB0A24E4-BBA2-409F-95D2-F80662407A08}">
      <tableStyleElement type="wholeTable" dxfId="62"/>
    </tableStyle>
    <tableStyle name="Slicer Style 1 3" pivot="0" table="0" count="1" xr9:uid="{C087563A-2E85-4BE5-9D8D-AD3A2B48A3D4}">
      <tableStyleElement type="wholeTable" dxfId="61"/>
    </tableStyle>
    <tableStyle name="Slicer Style 2" pivot="0" table="0" count="1" xr9:uid="{15C59616-4D21-4F62-A111-5B9C2281BED6}">
      <tableStyleElement type="wholeTable" dxfId="60"/>
    </tableStyle>
    <tableStyle name="SlicerStyleLight1 2" pivot="0" table="0" count="10" xr9:uid="{3A7EDAFA-2647-4E24-97E8-3E369D629916}">
      <tableStyleElement type="wholeTable" dxfId="59"/>
      <tableStyleElement type="headerRow" dxfId="58"/>
    </tableStyle>
    <tableStyle name="SlicerStyleLight1 2 2" pivot="0" table="0" count="10" xr9:uid="{A212A67D-3692-4371-A397-80B9E77BB795}">
      <tableStyleElement type="wholeTable" dxfId="57"/>
      <tableStyleElement type="headerRow" dxfId="56"/>
    </tableStyle>
    <tableStyle name="SlicerStyleLight1 2 2 2" pivot="0" table="0" count="10" xr9:uid="{187C46CF-2F4D-4E81-A770-80EDB410CCE6}">
      <tableStyleElement type="wholeTable" dxfId="55"/>
      <tableStyleElement type="headerRow" dxfId="54"/>
    </tableStyle>
    <tableStyle name="SlicerStyleLight1 2 2 3" pivot="0" table="0" count="10" xr9:uid="{BCD610DE-6E33-4E55-A62A-15979443C2AE}">
      <tableStyleElement type="wholeTable" dxfId="53"/>
      <tableStyleElement type="headerRow" dxfId="52"/>
    </tableStyle>
  </tableStyles>
  <colors>
    <mruColors>
      <color rgb="FF080616"/>
      <color rgb="FF2F2FE4"/>
      <color rgb="FF1A1953"/>
      <color rgb="FF162E93"/>
      <color rgb="FF182540"/>
      <color rgb="FF1B2A49"/>
      <color rgb="FFF2F2F2"/>
      <color rgb="FF192E59"/>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2F2FE4"/>
          </font>
          <fill>
            <patternFill>
              <fgColor rgb="FF2F2FE4"/>
            </patternFill>
          </fill>
        </dxf>
      </x14:dxfs>
    </ext>
    <ext xmlns:x14="http://schemas.microsoft.com/office/spreadsheetml/2009/9/main" uri="{EB79DEF2-80B8-43e5-95BD-54CBDDF9020C}">
      <x14:slicerStyles defaultSlicerStyle="Slicer Style 1 2 2 2">
        <x14:slicerStyle name="Slicer Style 1"/>
        <x14:slicerStyle name="Slicer Style 1 2"/>
        <x14:slicerStyle name="Slicer Style 1 2 2"/>
        <x14:slicerStyle name="Slicer Style 1 2 2 2">
          <x14:slicerStyleElements>
            <x14:slicerStyleElement type="selectedItemWithData" dxfId="32"/>
          </x14:slicerStyleElements>
        </x14:slicerStyle>
        <x14:slicerStyle name="Slicer Style 1 2 2 3"/>
        <x14:slicerStyle name="Slicer Style 1 3"/>
        <x14:slicerStyle name="Slicer Style 2"/>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2E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2122382804382"/>
          <c:y val="8.7433103036500967E-2"/>
          <c:w val="0.73905259889697905"/>
          <c:h val="0.72817630318821025"/>
        </c:manualLayout>
      </c:layout>
      <c:barChart>
        <c:barDir val="bar"/>
        <c:grouping val="clustered"/>
        <c:varyColors val="0"/>
        <c:ser>
          <c:idx val="0"/>
          <c:order val="0"/>
          <c:tx>
            <c:strRef>
              <c:f>Pivot!$AW$5</c:f>
              <c:strCache>
                <c:ptCount val="1"/>
                <c:pt idx="0">
                  <c:v>Total</c:v>
                </c:pt>
              </c:strCache>
            </c:strRef>
          </c:tx>
          <c:spPr>
            <a:solidFill>
              <a:srgbClr val="162E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Pivot!$AV$6:$AV$9</c:f>
              <c:strCache>
                <c:ptCount val="3"/>
                <c:pt idx="0">
                  <c:v>القاهرة</c:v>
                </c:pt>
                <c:pt idx="1">
                  <c:v>الساحل الشمالي</c:v>
                </c:pt>
                <c:pt idx="2">
                  <c:v>الغردقه</c:v>
                </c:pt>
              </c:strCache>
            </c:strRef>
          </c:cat>
          <c:val>
            <c:numRef>
              <c:f>Pivot!$AW$6:$AW$9</c:f>
              <c:numCache>
                <c:formatCode>0</c:formatCode>
                <c:ptCount val="3"/>
                <c:pt idx="0">
                  <c:v>14</c:v>
                </c:pt>
                <c:pt idx="1">
                  <c:v>1</c:v>
                </c:pt>
                <c:pt idx="2">
                  <c:v>1</c:v>
                </c:pt>
              </c:numCache>
            </c:numRef>
          </c:val>
          <c:extLst>
            <c:ext xmlns:c16="http://schemas.microsoft.com/office/drawing/2014/chart" uri="{C3380CC4-5D6E-409C-BE32-E72D297353CC}">
              <c16:uniqueId val="{00000000-8E91-4EC3-9917-6B4CD4927AB8}"/>
            </c:ext>
          </c:extLst>
        </c:ser>
        <c:dLbls>
          <c:dLblPos val="outEnd"/>
          <c:showLegendKey val="0"/>
          <c:showVal val="1"/>
          <c:showCatName val="0"/>
          <c:showSerName val="0"/>
          <c:showPercent val="0"/>
          <c:showBubbleSize val="0"/>
        </c:dLbls>
        <c:gapWidth val="182"/>
        <c:axId val="942876048"/>
        <c:axId val="942882288"/>
      </c:barChart>
      <c:catAx>
        <c:axId val="94287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82288"/>
        <c:crosses val="autoZero"/>
        <c:auto val="1"/>
        <c:lblAlgn val="ctr"/>
        <c:lblOffset val="100"/>
        <c:noMultiLvlLbl val="0"/>
      </c:catAx>
      <c:valAx>
        <c:axId val="942882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A19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16289603790158"/>
          <c:y val="8.9070075260069312E-2"/>
          <c:w val="0.74572436206045489"/>
          <c:h val="0.82185984947986135"/>
        </c:manualLayout>
      </c:layout>
      <c:barChart>
        <c:barDir val="bar"/>
        <c:grouping val="clustered"/>
        <c:varyColors val="0"/>
        <c:ser>
          <c:idx val="0"/>
          <c:order val="0"/>
          <c:tx>
            <c:strRef>
              <c:f>Pivot!$R$5</c:f>
              <c:strCache>
                <c:ptCount val="1"/>
                <c:pt idx="0">
                  <c:v>Total</c:v>
                </c:pt>
              </c:strCache>
            </c:strRef>
          </c:tx>
          <c:spPr>
            <a:solidFill>
              <a:srgbClr val="1A19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Pivot!$Q$6:$Q$10</c:f>
              <c:strCache>
                <c:ptCount val="4"/>
                <c:pt idx="0">
                  <c:v>تاكى</c:v>
                </c:pt>
                <c:pt idx="1">
                  <c:v>هومزمارت</c:v>
                </c:pt>
                <c:pt idx="2">
                  <c:v>شيك هومز</c:v>
                </c:pt>
                <c:pt idx="3">
                  <c:v>فيس بوك</c:v>
                </c:pt>
              </c:strCache>
            </c:strRef>
          </c:cat>
          <c:val>
            <c:numRef>
              <c:f>Pivot!$R$6:$R$10</c:f>
              <c:numCache>
                <c:formatCode>_("$"* #,##0_);_("$"* \(#,##0\);_("$"* "-"??_);_(@_)</c:formatCode>
                <c:ptCount val="4"/>
                <c:pt idx="0">
                  <c:v>31228</c:v>
                </c:pt>
                <c:pt idx="1">
                  <c:v>28844.22</c:v>
                </c:pt>
                <c:pt idx="2">
                  <c:v>14550</c:v>
                </c:pt>
                <c:pt idx="3">
                  <c:v>12000</c:v>
                </c:pt>
              </c:numCache>
            </c:numRef>
          </c:val>
          <c:extLst>
            <c:ext xmlns:c16="http://schemas.microsoft.com/office/drawing/2014/chart" uri="{C3380CC4-5D6E-409C-BE32-E72D297353CC}">
              <c16:uniqueId val="{00000000-EAC9-4D7D-AAC4-4FFD6A1080E5}"/>
            </c:ext>
          </c:extLst>
        </c:ser>
        <c:dLbls>
          <c:dLblPos val="outEnd"/>
          <c:showLegendKey val="0"/>
          <c:showVal val="1"/>
          <c:showCatName val="0"/>
          <c:showSerName val="0"/>
          <c:showPercent val="0"/>
          <c:showBubbleSize val="0"/>
        </c:dLbls>
        <c:gapWidth val="182"/>
        <c:axId val="942887088"/>
        <c:axId val="942877488"/>
      </c:barChart>
      <c:catAx>
        <c:axId val="942887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7488"/>
        <c:crosses val="autoZero"/>
        <c:auto val="1"/>
        <c:lblAlgn val="ctr"/>
        <c:lblOffset val="100"/>
        <c:noMultiLvlLbl val="0"/>
      </c:catAx>
      <c:valAx>
        <c:axId val="942877488"/>
        <c:scaling>
          <c:orientation val="minMax"/>
        </c:scaling>
        <c:delete val="1"/>
        <c:axPos val="b"/>
        <c:numFmt formatCode="_(&quot;$&quot;* #,##0_);_(&quot;$&quot;* \(#,##0\);_(&quot;$&quot;* &quot;-&quot;??_);_(@_)" sourceLinked="1"/>
        <c:majorTickMark val="out"/>
        <c:minorTickMark val="none"/>
        <c:tickLblPos val="nextTo"/>
        <c:crossAx val="94288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[MISUO.xlsx]Pivot!PivotTable8</c:name>
    <c:fmtId val="1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hade val="65000"/>
            </a:schemeClr>
          </a:solidFill>
          <a:ln>
            <a:noFill/>
          </a:ln>
          <a:effectLst/>
        </c:spPr>
        <c:dLbl>
          <c:idx val="0"/>
          <c:layout>
            <c:manualLayout>
              <c:x val="1.3909164639091646E-2"/>
              <c:y val="0.1747211286089238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6.1257351955093207E-2"/>
              <c:y val="5.744154139823431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tint val="65000"/>
            </a:schemeClr>
          </a:solidFill>
          <a:ln>
            <a:noFill/>
          </a:ln>
          <a:effectLst/>
        </c:spPr>
        <c:dLbl>
          <c:idx val="0"/>
          <c:layout>
            <c:manualLayout>
              <c:x val="-6.9964429628778149E-2"/>
              <c:y val="6.2194285373419235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pivotFmt>
      <c:pivotFmt>
        <c:idx val="15"/>
        <c:spPr>
          <a:solidFill>
            <a:srgbClr val="0806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rgbClr val="080616"/>
          </a:solidFill>
          <a:ln>
            <a:noFill/>
          </a:ln>
          <a:effectLst/>
        </c:spPr>
      </c:pivotFmt>
      <c:pivotFmt>
        <c:idx val="18"/>
        <c:spPr>
          <a:solidFill>
            <a:srgbClr val="080616"/>
          </a:solidFill>
          <a:ln>
            <a:noFill/>
          </a:ln>
          <a:effectLst/>
        </c:spPr>
      </c:pivotFmt>
      <c:pivotFmt>
        <c:idx val="19"/>
        <c:spPr>
          <a:solidFill>
            <a:srgbClr val="080616"/>
          </a:solidFill>
          <a:ln>
            <a:noFill/>
          </a:ln>
          <a:effectLst/>
        </c:spPr>
      </c:pivotFmt>
    </c:pivotFmts>
    <c:plotArea>
      <c:layout/>
      <c:pieChart>
        <c:varyColors val="1"/>
        <c:ser>
          <c:idx val="0"/>
          <c:order val="0"/>
          <c:tx>
            <c:strRef>
              <c:f>Pivot!$AK$5</c:f>
              <c:strCache>
                <c:ptCount val="1"/>
                <c:pt idx="0">
                  <c:v>Total</c:v>
                </c:pt>
              </c:strCache>
            </c:strRef>
          </c:tx>
          <c:spPr>
            <a:solidFill>
              <a:srgbClr val="080616"/>
            </a:solidFill>
          </c:spPr>
          <c:dPt>
            <c:idx val="0"/>
            <c:bubble3D val="0"/>
            <c:spPr>
              <a:solidFill>
                <a:srgbClr val="080616"/>
              </a:solidFill>
              <a:ln>
                <a:noFill/>
              </a:ln>
              <a:effectLst/>
            </c:spPr>
            <c:extLst>
              <c:ext xmlns:c16="http://schemas.microsoft.com/office/drawing/2014/chart" uri="{C3380CC4-5D6E-409C-BE32-E72D297353CC}">
                <c16:uniqueId val="{00000001-4B00-4675-8DA6-EA01B8F7AB6E}"/>
              </c:ext>
            </c:extLst>
          </c:dPt>
          <c:dPt>
            <c:idx val="1"/>
            <c:bubble3D val="0"/>
            <c:spPr>
              <a:solidFill>
                <a:srgbClr val="080616"/>
              </a:solidFill>
              <a:ln>
                <a:noFill/>
              </a:ln>
              <a:effectLst/>
            </c:spPr>
            <c:extLst>
              <c:ext xmlns:c16="http://schemas.microsoft.com/office/drawing/2014/chart" uri="{C3380CC4-5D6E-409C-BE32-E72D297353CC}">
                <c16:uniqueId val="{00000003-4B00-4675-8DA6-EA01B8F7AB6E}"/>
              </c:ext>
            </c:extLst>
          </c:dPt>
          <c:dPt>
            <c:idx val="2"/>
            <c:bubble3D val="0"/>
            <c:spPr>
              <a:solidFill>
                <a:srgbClr val="080616"/>
              </a:solidFill>
              <a:ln>
                <a:noFill/>
              </a:ln>
              <a:effectLst/>
            </c:spPr>
            <c:extLst>
              <c:ext xmlns:c16="http://schemas.microsoft.com/office/drawing/2014/chart" uri="{C3380CC4-5D6E-409C-BE32-E72D297353CC}">
                <c16:uniqueId val="{00000005-4B00-4675-8DA6-EA01B8F7AB6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Pivot!$AJ$6:$AJ$9</c:f>
              <c:strCache>
                <c:ptCount val="3"/>
                <c:pt idx="0">
                  <c:v>late</c:v>
                </c:pt>
                <c:pt idx="1">
                  <c:v>on time</c:v>
                </c:pt>
                <c:pt idx="2">
                  <c:v>cancelled</c:v>
                </c:pt>
              </c:strCache>
            </c:strRef>
          </c:cat>
          <c:val>
            <c:numRef>
              <c:f>Pivot!$AK$6:$AK$9</c:f>
              <c:numCache>
                <c:formatCode>0.00%</c:formatCode>
                <c:ptCount val="3"/>
                <c:pt idx="0">
                  <c:v>0.625</c:v>
                </c:pt>
                <c:pt idx="1">
                  <c:v>0.25</c:v>
                </c:pt>
                <c:pt idx="2">
                  <c:v>0.125</c:v>
                </c:pt>
              </c:numCache>
            </c:numRef>
          </c:val>
          <c:extLst>
            <c:ext xmlns:c16="http://schemas.microsoft.com/office/drawing/2014/chart" uri="{C3380CC4-5D6E-409C-BE32-E72D297353CC}">
              <c16:uniqueId val="{00000006-4B00-4675-8DA6-EA01B8F7AB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58372826347509"/>
          <c:y val="5.3746122643760441E-2"/>
          <c:w val="0.24051307111201264"/>
          <c:h val="0.428491857551896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layout>
            <c:manualLayout>
              <c:x val="-7.7281191806331473E-2"/>
              <c:y val="-0.32265130461633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layout>
            <c:manualLayout>
              <c:x val="-1.9770451179636064E-2"/>
              <c:y val="-0.330821239256857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layout>
            <c:manualLayout>
              <c:x val="-0.12849162011173185"/>
              <c:y val="-0.11023300396273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layout>
            <c:manualLayout>
              <c:x val="-0.13184357541899444"/>
              <c:y val="-0.330821239256857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layout>
            <c:manualLayout>
              <c:x val="-0.11322160148975792"/>
              <c:y val="-0.159252611805877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C00000"/>
            </a:solidFill>
            <a:round/>
          </a:ln>
          <a:effectLst/>
        </c:spPr>
        <c:marker>
          <c:symbol val="circle"/>
          <c:size val="6"/>
          <c:spPr>
            <a:solidFill>
              <a:srgbClr val="1B2A4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circle"/>
          <c:size val="6"/>
          <c:spPr>
            <a:solidFill>
              <a:srgbClr val="2F2FE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0849750047346742E-2"/>
          <c:w val="1"/>
          <c:h val="0.81047166898255363"/>
        </c:manualLayout>
      </c:layout>
      <c:lineChart>
        <c:grouping val="standard"/>
        <c:varyColors val="0"/>
        <c:ser>
          <c:idx val="0"/>
          <c:order val="0"/>
          <c:tx>
            <c:strRef>
              <c:f>Pivot!$BV$4</c:f>
              <c:strCache>
                <c:ptCount val="1"/>
                <c:pt idx="0">
                  <c:v>Total</c:v>
                </c:pt>
              </c:strCache>
            </c:strRef>
          </c:tx>
          <c:spPr>
            <a:ln w="28575" cap="rnd">
              <a:solidFill>
                <a:srgbClr val="C00000"/>
              </a:solidFill>
              <a:round/>
            </a:ln>
            <a:effectLst/>
          </c:spPr>
          <c:marker>
            <c:symbol val="circle"/>
            <c:size val="6"/>
            <c:spPr>
              <a:solidFill>
                <a:srgbClr val="2F2FE4"/>
              </a:solidFill>
              <a:ln w="9525">
                <a:noFill/>
              </a:ln>
              <a:effectLst/>
            </c:spPr>
          </c:marker>
          <c:dPt>
            <c:idx val="1"/>
            <c:marker>
              <c:symbol val="circle"/>
              <c:size val="6"/>
              <c:spPr>
                <a:solidFill>
                  <a:srgbClr val="2F2FE4"/>
                </a:solidFill>
                <a:ln w="9525">
                  <a:noFill/>
                </a:ln>
                <a:effectLst/>
              </c:spPr>
            </c:marker>
            <c:bubble3D val="0"/>
            <c:extLst>
              <c:ext xmlns:c16="http://schemas.microsoft.com/office/drawing/2014/chart" uri="{C3380CC4-5D6E-409C-BE32-E72D297353CC}">
                <c16:uniqueId val="{00000000-C30F-4E2D-8DD0-40C10C2D0252}"/>
              </c:ext>
            </c:extLst>
          </c:dPt>
          <c:dPt>
            <c:idx val="2"/>
            <c:marker>
              <c:symbol val="circle"/>
              <c:size val="6"/>
              <c:spPr>
                <a:solidFill>
                  <a:srgbClr val="2F2FE4"/>
                </a:solidFill>
                <a:ln w="9525">
                  <a:noFill/>
                </a:ln>
                <a:effectLst/>
              </c:spPr>
            </c:marker>
            <c:bubble3D val="0"/>
            <c:extLst>
              <c:ext xmlns:c16="http://schemas.microsoft.com/office/drawing/2014/chart" uri="{C3380CC4-5D6E-409C-BE32-E72D297353CC}">
                <c16:uniqueId val="{00000001-C30F-4E2D-8DD0-40C10C2D0252}"/>
              </c:ext>
            </c:extLst>
          </c:dPt>
          <c:dPt>
            <c:idx val="4"/>
            <c:marker>
              <c:symbol val="circle"/>
              <c:size val="6"/>
              <c:spPr>
                <a:solidFill>
                  <a:srgbClr val="2F2FE4"/>
                </a:solidFill>
                <a:ln w="9525">
                  <a:noFill/>
                </a:ln>
                <a:effectLst/>
              </c:spPr>
            </c:marker>
            <c:bubble3D val="0"/>
            <c:extLst>
              <c:ext xmlns:c16="http://schemas.microsoft.com/office/drawing/2014/chart" uri="{C3380CC4-5D6E-409C-BE32-E72D297353CC}">
                <c16:uniqueId val="{00000002-C30F-4E2D-8DD0-40C10C2D0252}"/>
              </c:ext>
            </c:extLst>
          </c:dPt>
          <c:dPt>
            <c:idx val="5"/>
            <c:marker>
              <c:symbol val="circle"/>
              <c:size val="6"/>
              <c:spPr>
                <a:solidFill>
                  <a:srgbClr val="2F2FE4"/>
                </a:solidFill>
                <a:ln w="9525">
                  <a:noFill/>
                </a:ln>
                <a:effectLst/>
              </c:spPr>
            </c:marker>
            <c:bubble3D val="0"/>
            <c:extLst>
              <c:ext xmlns:c16="http://schemas.microsoft.com/office/drawing/2014/chart" uri="{C3380CC4-5D6E-409C-BE32-E72D297353CC}">
                <c16:uniqueId val="{00000003-C30F-4E2D-8DD0-40C10C2D0252}"/>
              </c:ext>
            </c:extLst>
          </c:dPt>
          <c:dPt>
            <c:idx val="6"/>
            <c:marker>
              <c:symbol val="circle"/>
              <c:size val="6"/>
              <c:spPr>
                <a:solidFill>
                  <a:srgbClr val="2F2FE4"/>
                </a:solidFill>
                <a:ln w="9525">
                  <a:noFill/>
                </a:ln>
                <a:effectLst/>
              </c:spPr>
            </c:marker>
            <c:bubble3D val="0"/>
            <c:extLst>
              <c:ext xmlns:c16="http://schemas.microsoft.com/office/drawing/2014/chart" uri="{C3380CC4-5D6E-409C-BE32-E72D297353CC}">
                <c16:uniqueId val="{00000004-C30F-4E2D-8DD0-40C10C2D02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9"/>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Pivot!$BU$5:$BU$6</c:f>
              <c:strCache>
                <c:ptCount val="1"/>
                <c:pt idx="0">
                  <c:v>Aug</c:v>
                </c:pt>
              </c:strCache>
            </c:strRef>
          </c:cat>
          <c:val>
            <c:numRef>
              <c:f>Pivot!$BV$5:$BV$6</c:f>
              <c:numCache>
                <c:formatCode>_("$"* #,##0_);_("$"* \(#,##0\);_("$"* "-"??_);_(@_)</c:formatCode>
                <c:ptCount val="1"/>
                <c:pt idx="0">
                  <c:v>86622.22</c:v>
                </c:pt>
              </c:numCache>
            </c:numRef>
          </c:val>
          <c:smooth val="1"/>
          <c:extLst>
            <c:ext xmlns:c16="http://schemas.microsoft.com/office/drawing/2014/chart" uri="{C3380CC4-5D6E-409C-BE32-E72D297353CC}">
              <c16:uniqueId val="{00000005-C30F-4E2D-8DD0-40C10C2D0252}"/>
            </c:ext>
          </c:extLst>
        </c:ser>
        <c:dLbls>
          <c:dLblPos val="t"/>
          <c:showLegendKey val="0"/>
          <c:showVal val="1"/>
          <c:showCatName val="0"/>
          <c:showSerName val="0"/>
          <c:showPercent val="0"/>
          <c:showBubbleSize val="0"/>
        </c:dLbls>
        <c:marker val="1"/>
        <c:smooth val="0"/>
        <c:axId val="942867408"/>
        <c:axId val="942867888"/>
      </c:lineChart>
      <c:catAx>
        <c:axId val="94286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67888"/>
        <c:crosses val="autoZero"/>
        <c:auto val="1"/>
        <c:lblAlgn val="ctr"/>
        <c:lblOffset val="100"/>
        <c:noMultiLvlLbl val="0"/>
      </c:catAx>
      <c:valAx>
        <c:axId val="942867888"/>
        <c:scaling>
          <c:orientation val="minMax"/>
        </c:scaling>
        <c:delete val="1"/>
        <c:axPos val="l"/>
        <c:numFmt formatCode="_(&quot;$&quot;* #,##0_);_(&quot;$&quot;* \(#,##0\);_(&quot;$&quot;* &quot;-&quot;??_);_(@_)" sourceLinked="1"/>
        <c:majorTickMark val="out"/>
        <c:minorTickMark val="none"/>
        <c:tickLblPos val="nextTo"/>
        <c:crossAx val="9428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[MISUO.xlsx]Pivot!PivotTable9</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dLbl>
          <c:idx val="0"/>
          <c:layout>
            <c:manualLayout>
              <c:x val="0.16914689452535248"/>
              <c:y val="-7.076067178719223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tint val="77000"/>
            </a:schemeClr>
          </a:solidFill>
          <a:ln w="19050">
            <a:solidFill>
              <a:schemeClr val="lt1"/>
            </a:solidFill>
          </a:ln>
          <a:effectLst/>
        </c:spPr>
        <c:dLbl>
          <c:idx val="0"/>
          <c:layout>
            <c:manualLayout>
              <c:x val="-7.6359371007827567E-2"/>
              <c:y val="3.665333718101990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rgbClr val="1A195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rgbClr val="1A1953"/>
          </a:solidFill>
          <a:ln w="19050">
            <a:solidFill>
              <a:schemeClr val="lt1"/>
            </a:solidFill>
          </a:ln>
          <a:effectLst/>
        </c:spPr>
      </c:pivotFmt>
      <c:pivotFmt>
        <c:idx val="12"/>
        <c:spPr>
          <a:solidFill>
            <a:srgbClr val="1A1953"/>
          </a:solidFill>
          <a:ln w="19050">
            <a:solidFill>
              <a:schemeClr val="lt1"/>
            </a:solidFill>
          </a:ln>
          <a:effectLst/>
        </c:spPr>
      </c:pivotFmt>
    </c:pivotFmts>
    <c:plotArea>
      <c:layout>
        <c:manualLayout>
          <c:layoutTarget val="inner"/>
          <c:xMode val="edge"/>
          <c:yMode val="edge"/>
          <c:x val="0.24540687589396287"/>
          <c:y val="0.17595410275831397"/>
          <c:w val="0.38100226397818093"/>
          <c:h val="0.69671480494553173"/>
        </c:manualLayout>
      </c:layout>
      <c:pieChart>
        <c:varyColors val="1"/>
        <c:ser>
          <c:idx val="0"/>
          <c:order val="0"/>
          <c:tx>
            <c:strRef>
              <c:f>Pivot!$AQ$5</c:f>
              <c:strCache>
                <c:ptCount val="1"/>
                <c:pt idx="0">
                  <c:v>Total</c:v>
                </c:pt>
              </c:strCache>
            </c:strRef>
          </c:tx>
          <c:spPr>
            <a:solidFill>
              <a:srgbClr val="1A1953"/>
            </a:solidFill>
          </c:spPr>
          <c:dPt>
            <c:idx val="0"/>
            <c:bubble3D val="0"/>
            <c:spPr>
              <a:solidFill>
                <a:srgbClr val="1A1953"/>
              </a:solidFill>
              <a:ln w="19050">
                <a:solidFill>
                  <a:schemeClr val="lt1"/>
                </a:solidFill>
              </a:ln>
              <a:effectLst/>
            </c:spPr>
            <c:extLst>
              <c:ext xmlns:c16="http://schemas.microsoft.com/office/drawing/2014/chart" uri="{C3380CC4-5D6E-409C-BE32-E72D297353CC}">
                <c16:uniqueId val="{00000001-DA9E-4FFC-81E5-A4E254BC59B1}"/>
              </c:ext>
            </c:extLst>
          </c:dPt>
          <c:dPt>
            <c:idx val="1"/>
            <c:bubble3D val="0"/>
            <c:spPr>
              <a:solidFill>
                <a:srgbClr val="1A1953"/>
              </a:solidFill>
              <a:ln w="19050">
                <a:solidFill>
                  <a:schemeClr val="lt1"/>
                </a:solidFill>
              </a:ln>
              <a:effectLst/>
            </c:spPr>
            <c:extLst>
              <c:ext xmlns:c16="http://schemas.microsoft.com/office/drawing/2014/chart" uri="{C3380CC4-5D6E-409C-BE32-E72D297353CC}">
                <c16:uniqueId val="{00000003-DA9E-4FFC-81E5-A4E254BC59B1}"/>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Pivot!$AP$6:$AP$8</c:f>
              <c:strCache>
                <c:ptCount val="2"/>
                <c:pt idx="0">
                  <c:v>تم التسليم</c:v>
                </c:pt>
                <c:pt idx="1">
                  <c:v>مرتجع</c:v>
                </c:pt>
              </c:strCache>
            </c:strRef>
          </c:cat>
          <c:val>
            <c:numRef>
              <c:f>Pivot!$AQ$6:$AQ$8</c:f>
              <c:numCache>
                <c:formatCode>0.00%</c:formatCode>
                <c:ptCount val="2"/>
                <c:pt idx="0">
                  <c:v>0.875</c:v>
                </c:pt>
                <c:pt idx="1">
                  <c:v>0.125</c:v>
                </c:pt>
              </c:numCache>
            </c:numRef>
          </c:val>
          <c:extLst>
            <c:ext xmlns:c16="http://schemas.microsoft.com/office/drawing/2014/chart" uri="{C3380CC4-5D6E-409C-BE32-E72D297353CC}">
              <c16:uniqueId val="{00000004-DA9E-4FFC-81E5-A4E254BC59B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020308805507241"/>
          <c:y val="6.0185572180891161E-3"/>
          <c:w val="0.24510762581307771"/>
          <c:h val="0.2553667286564054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2.xml"/><Relationship Id="rId7" Type="http://schemas.openxmlformats.org/officeDocument/2006/relationships/image" Target="../media/image2.emf"/><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emf"/><Relationship Id="rId4" Type="http://schemas.openxmlformats.org/officeDocument/2006/relationships/chart" Target="../charts/chart3.xml"/><Relationship Id="rId9"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304030</xdr:colOff>
      <xdr:row>0</xdr:row>
      <xdr:rowOff>103909</xdr:rowOff>
    </xdr:from>
    <xdr:to>
      <xdr:col>22</xdr:col>
      <xdr:colOff>507229</xdr:colOff>
      <xdr:row>3</xdr:row>
      <xdr:rowOff>25400</xdr:rowOff>
    </xdr:to>
    <xdr:sp macro="" textlink="">
      <xdr:nvSpPr>
        <xdr:cNvPr id="2" name="Rectangle: Rounded Corners 1">
          <a:extLst>
            <a:ext uri="{FF2B5EF4-FFF2-40B4-BE49-F238E27FC236}">
              <a16:creationId xmlns:a16="http://schemas.microsoft.com/office/drawing/2014/main" id="{727A574C-D203-CD2F-AC58-FB2269584BF4}"/>
            </a:ext>
          </a:extLst>
        </xdr:cNvPr>
        <xdr:cNvSpPr/>
      </xdr:nvSpPr>
      <xdr:spPr>
        <a:xfrm>
          <a:off x="2735945" y="103909"/>
          <a:ext cx="11146816" cy="488938"/>
        </a:xfrm>
        <a:prstGeom prst="roundRect">
          <a:avLst/>
        </a:prstGeom>
        <a:solidFill>
          <a:srgbClr val="2F2FE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3200" b="0">
              <a:solidFill>
                <a:srgbClr val="080616"/>
              </a:solidFill>
              <a:effectLst/>
              <a:latin typeface="+mn-lt"/>
              <a:ea typeface="+mn-ea"/>
              <a:cs typeface="+mn-cs"/>
            </a:rPr>
            <a:t>Misuo</a:t>
          </a:r>
          <a:r>
            <a:rPr lang="en-US" sz="3200" b="0" baseline="0">
              <a:solidFill>
                <a:srgbClr val="080616"/>
              </a:solidFill>
              <a:effectLst/>
              <a:latin typeface="+mn-lt"/>
              <a:ea typeface="+mn-ea"/>
              <a:cs typeface="+mn-cs"/>
            </a:rPr>
            <a:t> Sales Dashboard</a:t>
          </a:r>
          <a:endParaRPr lang="en-GB" sz="3200" b="0">
            <a:solidFill>
              <a:srgbClr val="080616"/>
            </a:solidFill>
            <a:effectLst/>
          </a:endParaRPr>
        </a:p>
        <a:p>
          <a:pPr algn="l"/>
          <a:endParaRPr lang="en-GB" sz="1100"/>
        </a:p>
      </xdr:txBody>
    </xdr:sp>
    <xdr:clientData/>
  </xdr:twoCellAnchor>
  <xdr:twoCellAnchor>
    <xdr:from>
      <xdr:col>0</xdr:col>
      <xdr:colOff>333280</xdr:colOff>
      <xdr:row>0</xdr:row>
      <xdr:rowOff>107854</xdr:rowOff>
    </xdr:from>
    <xdr:to>
      <xdr:col>3</xdr:col>
      <xdr:colOff>550334</xdr:colOff>
      <xdr:row>27</xdr:row>
      <xdr:rowOff>76200</xdr:rowOff>
    </xdr:to>
    <xdr:sp macro="" textlink="">
      <xdr:nvSpPr>
        <xdr:cNvPr id="3" name="Rectangle: Rounded Corners 2">
          <a:extLst>
            <a:ext uri="{FF2B5EF4-FFF2-40B4-BE49-F238E27FC236}">
              <a16:creationId xmlns:a16="http://schemas.microsoft.com/office/drawing/2014/main" id="{7F76BE86-2B3B-1D7E-61B1-B0EBA6F61868}"/>
            </a:ext>
          </a:extLst>
        </xdr:cNvPr>
        <xdr:cNvSpPr/>
      </xdr:nvSpPr>
      <xdr:spPr>
        <a:xfrm>
          <a:off x="333280" y="107854"/>
          <a:ext cx="2045854" cy="4997546"/>
        </a:xfrm>
        <a:prstGeom prst="roundRect">
          <a:avLst/>
        </a:prstGeom>
        <a:solidFill>
          <a:srgbClr val="2F2FE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228342</xdr:colOff>
      <xdr:row>4</xdr:row>
      <xdr:rowOff>770</xdr:rowOff>
    </xdr:from>
    <xdr:to>
      <xdr:col>13</xdr:col>
      <xdr:colOff>115199</xdr:colOff>
      <xdr:row>9</xdr:row>
      <xdr:rowOff>768</xdr:rowOff>
    </xdr:to>
    <xdr:sp macro="" textlink="">
      <xdr:nvSpPr>
        <xdr:cNvPr id="5" name="Rectangle: Rounded Corners 4" descr="Total Orders&#10;">
          <a:extLst>
            <a:ext uri="{FF2B5EF4-FFF2-40B4-BE49-F238E27FC236}">
              <a16:creationId xmlns:a16="http://schemas.microsoft.com/office/drawing/2014/main" id="{6201C471-7173-182E-C58E-808538B20E08}"/>
            </a:ext>
          </a:extLst>
        </xdr:cNvPr>
        <xdr:cNvSpPr/>
      </xdr:nvSpPr>
      <xdr:spPr>
        <a:xfrm>
          <a:off x="5714742" y="745837"/>
          <a:ext cx="2325257" cy="931331"/>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rgbClr val="2F2FE4"/>
              </a:solidFill>
              <a:effectLst/>
              <a:latin typeface="+mn-lt"/>
              <a:ea typeface="+mn-ea"/>
              <a:cs typeface="+mn-cs"/>
            </a:rPr>
            <a:t>Total</a:t>
          </a:r>
          <a:r>
            <a:rPr lang="en-US" sz="2400" b="0" baseline="0">
              <a:solidFill>
                <a:srgbClr val="2F2FE4"/>
              </a:solidFill>
              <a:effectLst/>
              <a:latin typeface="+mn-lt"/>
              <a:ea typeface="+mn-ea"/>
              <a:cs typeface="+mn-cs"/>
            </a:rPr>
            <a:t> Orders</a:t>
          </a:r>
          <a:endParaRPr lang="en-GB" sz="2400" b="0">
            <a:solidFill>
              <a:srgbClr val="2F2FE4"/>
            </a:solidFill>
            <a:effectLst/>
          </a:endParaRPr>
        </a:p>
        <a:p>
          <a:pPr algn="l"/>
          <a:endParaRPr lang="en-GB" sz="1100"/>
        </a:p>
      </xdr:txBody>
    </xdr:sp>
    <xdr:clientData/>
  </xdr:twoCellAnchor>
  <xdr:twoCellAnchor>
    <xdr:from>
      <xdr:col>14</xdr:col>
      <xdr:colOff>92621</xdr:colOff>
      <xdr:row>4</xdr:row>
      <xdr:rowOff>3081</xdr:rowOff>
    </xdr:from>
    <xdr:to>
      <xdr:col>17</xdr:col>
      <xdr:colOff>598311</xdr:colOff>
      <xdr:row>8</xdr:row>
      <xdr:rowOff>164716</xdr:rowOff>
    </xdr:to>
    <xdr:sp macro="" textlink="">
      <xdr:nvSpPr>
        <xdr:cNvPr id="6" name="Rectangle: Rounded Corners 5">
          <a:extLst>
            <a:ext uri="{FF2B5EF4-FFF2-40B4-BE49-F238E27FC236}">
              <a16:creationId xmlns:a16="http://schemas.microsoft.com/office/drawing/2014/main" id="{BC1DBA5C-BEDB-17E2-E851-FEF76EAF9B2D}"/>
            </a:ext>
          </a:extLst>
        </xdr:cNvPr>
        <xdr:cNvSpPr/>
      </xdr:nvSpPr>
      <xdr:spPr>
        <a:xfrm>
          <a:off x="8559288" y="728795"/>
          <a:ext cx="2319975" cy="88735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rgbClr val="2F2FE4"/>
              </a:solidFill>
              <a:effectLst/>
              <a:latin typeface="+mn-lt"/>
              <a:ea typeface="+mn-ea"/>
              <a:cs typeface="+mn-cs"/>
            </a:rPr>
            <a:t>Avg Selling price</a:t>
          </a:r>
          <a:endParaRPr lang="en-GB" sz="2000" b="0">
            <a:solidFill>
              <a:srgbClr val="2F2FE4"/>
            </a:solidFill>
            <a:effectLst/>
          </a:endParaRPr>
        </a:p>
        <a:p>
          <a:pPr algn="l"/>
          <a:r>
            <a:rPr lang="en-GB" sz="1100" b="0" i="0" u="none" strike="noStrike">
              <a:solidFill>
                <a:schemeClr val="lt1"/>
              </a:solidFill>
              <a:effectLst/>
              <a:latin typeface="+mn-lt"/>
              <a:ea typeface="+mn-ea"/>
              <a:cs typeface="+mn-cs"/>
            </a:rPr>
            <a:t> $                     </a:t>
          </a:r>
          <a:r>
            <a:rPr lang="en-GB" sz="2000" b="0" i="0" u="none" strike="noStrike">
              <a:solidFill>
                <a:srgbClr val="080616"/>
              </a:solidFill>
              <a:effectLst/>
              <a:latin typeface="+mn-lt"/>
              <a:ea typeface="+mn-ea"/>
              <a:cs typeface="+mn-cs"/>
            </a:rPr>
            <a:t>11,455</a:t>
          </a:r>
          <a:r>
            <a:rPr lang="en-GB" sz="1100" b="0" i="0" u="none" strike="noStrike">
              <a:solidFill>
                <a:schemeClr val="lt1"/>
              </a:solidFill>
              <a:effectLst/>
              <a:latin typeface="+mn-lt"/>
              <a:ea typeface="+mn-ea"/>
              <a:cs typeface="+mn-cs"/>
            </a:rPr>
            <a:t> </a:t>
          </a:r>
          <a:endParaRPr lang="en-GB" sz="1100"/>
        </a:p>
      </xdr:txBody>
    </xdr:sp>
    <xdr:clientData/>
  </xdr:twoCellAnchor>
  <xdr:twoCellAnchor>
    <xdr:from>
      <xdr:col>19</xdr:col>
      <xdr:colOff>33865</xdr:colOff>
      <xdr:row>4</xdr:row>
      <xdr:rowOff>17698</xdr:rowOff>
    </xdr:from>
    <xdr:to>
      <xdr:col>22</xdr:col>
      <xdr:colOff>558799</xdr:colOff>
      <xdr:row>8</xdr:row>
      <xdr:rowOff>156249</xdr:rowOff>
    </xdr:to>
    <xdr:sp macro="" textlink="">
      <xdr:nvSpPr>
        <xdr:cNvPr id="7" name="Rectangle: Rounded Corners 6">
          <a:extLst>
            <a:ext uri="{FF2B5EF4-FFF2-40B4-BE49-F238E27FC236}">
              <a16:creationId xmlns:a16="http://schemas.microsoft.com/office/drawing/2014/main" id="{AE2CC5D1-298D-926F-83B3-AEAB316C831B}"/>
            </a:ext>
          </a:extLst>
        </xdr:cNvPr>
        <xdr:cNvSpPr/>
      </xdr:nvSpPr>
      <xdr:spPr>
        <a:xfrm>
          <a:off x="11675532" y="775242"/>
          <a:ext cx="2363092" cy="89609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rgbClr val="2F2FE4"/>
              </a:solidFill>
              <a:effectLst/>
              <a:latin typeface="+mn-lt"/>
              <a:ea typeface="+mn-ea"/>
              <a:cs typeface="+mn-cs"/>
            </a:rPr>
            <a:t>Best Seller</a:t>
          </a:r>
          <a:endParaRPr lang="en-GB" sz="2000" b="0">
            <a:solidFill>
              <a:srgbClr val="2F2FE4"/>
            </a:solidFill>
            <a:effectLst/>
          </a:endParaRPr>
        </a:p>
        <a:p>
          <a:pPr algn="l"/>
          <a:endParaRPr lang="en-GB" sz="1100"/>
        </a:p>
      </xdr:txBody>
    </xdr:sp>
    <xdr:clientData/>
  </xdr:twoCellAnchor>
  <xdr:twoCellAnchor>
    <xdr:from>
      <xdr:col>4</xdr:col>
      <xdr:colOff>304030</xdr:colOff>
      <xdr:row>9</xdr:row>
      <xdr:rowOff>141279</xdr:rowOff>
    </xdr:from>
    <xdr:to>
      <xdr:col>10</xdr:col>
      <xdr:colOff>591897</xdr:colOff>
      <xdr:row>18</xdr:row>
      <xdr:rowOff>55843</xdr:rowOff>
    </xdr:to>
    <xdr:sp macro="" textlink="">
      <xdr:nvSpPr>
        <xdr:cNvPr id="8" name="Rectangle: Rounded Corners 7">
          <a:extLst>
            <a:ext uri="{FF2B5EF4-FFF2-40B4-BE49-F238E27FC236}">
              <a16:creationId xmlns:a16="http://schemas.microsoft.com/office/drawing/2014/main" id="{F37BE4D7-32A8-86B0-A34A-AD56C614F3FB}"/>
            </a:ext>
          </a:extLst>
        </xdr:cNvPr>
        <xdr:cNvSpPr/>
      </xdr:nvSpPr>
      <xdr:spPr>
        <a:xfrm>
          <a:off x="2735945" y="1843619"/>
          <a:ext cx="3935739" cy="161690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428721</xdr:colOff>
      <xdr:row>9</xdr:row>
      <xdr:rowOff>123150</xdr:rowOff>
    </xdr:from>
    <xdr:to>
      <xdr:col>18</xdr:col>
      <xdr:colOff>76199</xdr:colOff>
      <xdr:row>18</xdr:row>
      <xdr:rowOff>59265</xdr:rowOff>
    </xdr:to>
    <xdr:sp macro="" textlink="">
      <xdr:nvSpPr>
        <xdr:cNvPr id="9" name="Rectangle: Rounded Corners 8">
          <a:extLst>
            <a:ext uri="{FF2B5EF4-FFF2-40B4-BE49-F238E27FC236}">
              <a16:creationId xmlns:a16="http://schemas.microsoft.com/office/drawing/2014/main" id="{95281E14-6D29-0370-51BF-F595CEFC5C86}"/>
            </a:ext>
          </a:extLst>
        </xdr:cNvPr>
        <xdr:cNvSpPr/>
      </xdr:nvSpPr>
      <xdr:spPr>
        <a:xfrm>
          <a:off x="7134321" y="1799550"/>
          <a:ext cx="3914678" cy="161251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40793</xdr:colOff>
      <xdr:row>9</xdr:row>
      <xdr:rowOff>112376</xdr:rowOff>
    </xdr:from>
    <xdr:to>
      <xdr:col>22</xdr:col>
      <xdr:colOff>558799</xdr:colOff>
      <xdr:row>13</xdr:row>
      <xdr:rowOff>103138</xdr:rowOff>
    </xdr:to>
    <xdr:sp macro="" textlink="">
      <xdr:nvSpPr>
        <xdr:cNvPr id="10" name="Rectangle: Rounded Corners 9">
          <a:extLst>
            <a:ext uri="{FF2B5EF4-FFF2-40B4-BE49-F238E27FC236}">
              <a16:creationId xmlns:a16="http://schemas.microsoft.com/office/drawing/2014/main" id="{87B323E1-3B3A-7D94-4ADF-5A95514604F9}"/>
            </a:ext>
          </a:extLst>
        </xdr:cNvPr>
        <xdr:cNvSpPr/>
      </xdr:nvSpPr>
      <xdr:spPr>
        <a:xfrm>
          <a:off x="11531269" y="1745233"/>
          <a:ext cx="2332292" cy="71647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rgbClr val="2F2FE4"/>
              </a:solidFill>
              <a:effectLst/>
              <a:latin typeface="+mn-lt"/>
              <a:ea typeface="+mn-ea"/>
              <a:cs typeface="+mn-cs"/>
            </a:rPr>
            <a:t>Best color</a:t>
          </a:r>
          <a:endParaRPr lang="en-GB" sz="2000" b="0">
            <a:solidFill>
              <a:srgbClr val="2F2FE4"/>
            </a:solidFill>
            <a:effectLst/>
          </a:endParaRPr>
        </a:p>
        <a:p>
          <a:pPr algn="l"/>
          <a:endParaRPr lang="en-GB" sz="1100"/>
        </a:p>
      </xdr:txBody>
    </xdr:sp>
    <xdr:clientData/>
  </xdr:twoCellAnchor>
  <xdr:twoCellAnchor>
    <xdr:from>
      <xdr:col>19</xdr:col>
      <xdr:colOff>42332</xdr:colOff>
      <xdr:row>14</xdr:row>
      <xdr:rowOff>59267</xdr:rowOff>
    </xdr:from>
    <xdr:to>
      <xdr:col>22</xdr:col>
      <xdr:colOff>558799</xdr:colOff>
      <xdr:row>18</xdr:row>
      <xdr:rowOff>67734</xdr:rowOff>
    </xdr:to>
    <xdr:sp macro="" textlink="">
      <xdr:nvSpPr>
        <xdr:cNvPr id="11" name="Rectangle: Rounded Corners 10">
          <a:extLst>
            <a:ext uri="{FF2B5EF4-FFF2-40B4-BE49-F238E27FC236}">
              <a16:creationId xmlns:a16="http://schemas.microsoft.com/office/drawing/2014/main" id="{727003F6-E25D-E01D-7F55-3D952A569AC3}"/>
            </a:ext>
          </a:extLst>
        </xdr:cNvPr>
        <xdr:cNvSpPr/>
      </xdr:nvSpPr>
      <xdr:spPr>
        <a:xfrm>
          <a:off x="11683999" y="2710671"/>
          <a:ext cx="2354625" cy="76601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0">
              <a:solidFill>
                <a:srgbClr val="2F2FE4"/>
              </a:solidFill>
              <a:effectLst/>
              <a:latin typeface="+mn-lt"/>
              <a:ea typeface="+mn-ea"/>
              <a:cs typeface="+mn-cs"/>
            </a:rPr>
            <a:t>Companies                </a:t>
          </a:r>
          <a:r>
            <a:rPr lang="en-US" sz="1800" b="0">
              <a:solidFill>
                <a:srgbClr val="080616"/>
              </a:solidFill>
              <a:effectLst/>
              <a:latin typeface="+mn-lt"/>
              <a:ea typeface="+mn-ea"/>
              <a:cs typeface="+mn-cs"/>
            </a:rPr>
            <a:t>4</a:t>
          </a:r>
          <a:endParaRPr lang="en-GB" sz="1800" b="0">
            <a:solidFill>
              <a:srgbClr val="080616"/>
            </a:solidFill>
            <a:effectLst/>
          </a:endParaRPr>
        </a:p>
        <a:p>
          <a:pPr algn="l"/>
          <a:r>
            <a:rPr lang="en-US" sz="2000" b="0">
              <a:solidFill>
                <a:srgbClr val="2F2FE4"/>
              </a:solidFill>
              <a:effectLst/>
              <a:latin typeface="+mn-lt"/>
              <a:ea typeface="+mn-ea"/>
              <a:cs typeface="+mn-cs"/>
            </a:rPr>
            <a:t>Persons               </a:t>
          </a:r>
          <a:r>
            <a:rPr lang="en-US" sz="2000" b="0">
              <a:solidFill>
                <a:srgbClr val="080616"/>
              </a:solidFill>
              <a:effectLst/>
              <a:latin typeface="+mn-lt"/>
              <a:ea typeface="+mn-ea"/>
              <a:cs typeface="+mn-cs"/>
            </a:rPr>
            <a:t>1</a:t>
          </a:r>
          <a:endParaRPr lang="en-GB" sz="3600" b="0">
            <a:solidFill>
              <a:srgbClr val="2F2FE4"/>
            </a:solidFill>
          </a:endParaRPr>
        </a:p>
      </xdr:txBody>
    </xdr:sp>
    <xdr:clientData/>
  </xdr:twoCellAnchor>
  <xdr:twoCellAnchor>
    <xdr:from>
      <xdr:col>4</xdr:col>
      <xdr:colOff>304030</xdr:colOff>
      <xdr:row>18</xdr:row>
      <xdr:rowOff>177802</xdr:rowOff>
    </xdr:from>
    <xdr:to>
      <xdr:col>10</xdr:col>
      <xdr:colOff>550333</xdr:colOff>
      <xdr:row>27</xdr:row>
      <xdr:rowOff>76200</xdr:rowOff>
    </xdr:to>
    <xdr:sp macro="" textlink="">
      <xdr:nvSpPr>
        <xdr:cNvPr id="12" name="Rectangle: Rounded Corners 11">
          <a:extLst>
            <a:ext uri="{FF2B5EF4-FFF2-40B4-BE49-F238E27FC236}">
              <a16:creationId xmlns:a16="http://schemas.microsoft.com/office/drawing/2014/main" id="{584D38D5-98B4-2822-4EFF-1F01DAAF6132}"/>
            </a:ext>
          </a:extLst>
        </xdr:cNvPr>
        <xdr:cNvSpPr/>
      </xdr:nvSpPr>
      <xdr:spPr>
        <a:xfrm>
          <a:off x="2742430" y="3530602"/>
          <a:ext cx="3903903" cy="157479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278630</xdr:colOff>
      <xdr:row>19</xdr:row>
      <xdr:rowOff>3079</xdr:rowOff>
    </xdr:from>
    <xdr:to>
      <xdr:col>16</xdr:col>
      <xdr:colOff>575733</xdr:colOff>
      <xdr:row>27</xdr:row>
      <xdr:rowOff>76200</xdr:rowOff>
    </xdr:to>
    <xdr:sp macro="" textlink="">
      <xdr:nvSpPr>
        <xdr:cNvPr id="13" name="Rectangle: Rounded Corners 12">
          <a:extLst>
            <a:ext uri="{FF2B5EF4-FFF2-40B4-BE49-F238E27FC236}">
              <a16:creationId xmlns:a16="http://schemas.microsoft.com/office/drawing/2014/main" id="{B67F1B0F-5BC5-5341-142D-AB033D99635F}"/>
            </a:ext>
          </a:extLst>
        </xdr:cNvPr>
        <xdr:cNvSpPr/>
      </xdr:nvSpPr>
      <xdr:spPr>
        <a:xfrm>
          <a:off x="7018542" y="3601412"/>
          <a:ext cx="3360700" cy="1588209"/>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259387</xdr:colOff>
      <xdr:row>18</xdr:row>
      <xdr:rowOff>178570</xdr:rowOff>
    </xdr:from>
    <xdr:to>
      <xdr:col>22</xdr:col>
      <xdr:colOff>558799</xdr:colOff>
      <xdr:row>27</xdr:row>
      <xdr:rowOff>76200</xdr:rowOff>
    </xdr:to>
    <xdr:sp macro="" textlink="">
      <xdr:nvSpPr>
        <xdr:cNvPr id="14" name="Rectangle: Rounded Corners 13">
          <a:extLst>
            <a:ext uri="{FF2B5EF4-FFF2-40B4-BE49-F238E27FC236}">
              <a16:creationId xmlns:a16="http://schemas.microsoft.com/office/drawing/2014/main" id="{02D1F423-98B7-1ADF-6B9F-0881A10B23CD}"/>
            </a:ext>
          </a:extLst>
        </xdr:cNvPr>
        <xdr:cNvSpPr/>
      </xdr:nvSpPr>
      <xdr:spPr>
        <a:xfrm>
          <a:off x="10595025" y="3583251"/>
          <a:ext cx="3339306" cy="159997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499895</xdr:colOff>
      <xdr:row>1</xdr:row>
      <xdr:rowOff>105552</xdr:rowOff>
    </xdr:from>
    <xdr:to>
      <xdr:col>3</xdr:col>
      <xdr:colOff>337767</xdr:colOff>
      <xdr:row>9</xdr:row>
      <xdr:rowOff>40532</xdr:rowOff>
    </xdr:to>
    <xdr:pic>
      <xdr:nvPicPr>
        <xdr:cNvPr id="29" name="Picture 28">
          <a:extLst>
            <a:ext uri="{FF2B5EF4-FFF2-40B4-BE49-F238E27FC236}">
              <a16:creationId xmlns:a16="http://schemas.microsoft.com/office/drawing/2014/main" id="{DAC65D8D-B19E-4032-B6A5-E5C37AA1D372}"/>
            </a:ext>
          </a:extLst>
        </xdr:cNvPr>
        <xdr:cNvPicPr>
          <a:picLocks noChangeAspect="1"/>
        </xdr:cNvPicPr>
      </xdr:nvPicPr>
      <xdr:blipFill>
        <a:blip xmlns:r="http://schemas.openxmlformats.org/officeDocument/2006/relationships" r:embed="rId1">
          <a:biLevel thresh="25000"/>
          <a:extLst>
            <a:ext uri="{28A0092B-C50C-407E-A947-70E740481C1C}">
              <a14:useLocalDpi xmlns:a14="http://schemas.microsoft.com/office/drawing/2010/main" val="0"/>
            </a:ext>
          </a:extLst>
        </a:blip>
        <a:stretch>
          <a:fillRect/>
        </a:stretch>
      </xdr:blipFill>
      <xdr:spPr>
        <a:xfrm>
          <a:off x="499895" y="294701"/>
          <a:ext cx="1661808" cy="1448171"/>
        </a:xfrm>
        <a:prstGeom prst="ellipse">
          <a:avLst/>
        </a:prstGeom>
        <a:solidFill>
          <a:srgbClr val="080616"/>
        </a:solidFill>
        <a:ln w="63500" cap="rnd">
          <a:solidFill>
            <a:srgbClr val="333333"/>
          </a:solidFill>
        </a:ln>
        <a:effectLst>
          <a:outerShdw blurRad="50800" dist="38100" dir="18900000" algn="bl"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405319</xdr:colOff>
      <xdr:row>9</xdr:row>
      <xdr:rowOff>162128</xdr:rowOff>
    </xdr:from>
    <xdr:to>
      <xdr:col>3</xdr:col>
      <xdr:colOff>499894</xdr:colOff>
      <xdr:row>17</xdr:row>
      <xdr:rowOff>40532</xdr:rowOff>
    </xdr:to>
    <mc:AlternateContent xmlns:mc="http://schemas.openxmlformats.org/markup-compatibility/2006" xmlns:a14="http://schemas.microsoft.com/office/drawing/2010/main">
      <mc:Choice Requires="a14">
        <xdr:graphicFrame macro="">
          <xdr:nvGraphicFramePr>
            <xdr:cNvPr id="31" name="المحافظه 1">
              <a:extLst>
                <a:ext uri="{FF2B5EF4-FFF2-40B4-BE49-F238E27FC236}">
                  <a16:creationId xmlns:a16="http://schemas.microsoft.com/office/drawing/2014/main" id="{BE22F2D9-4015-474A-B1C9-2D2F9D006D25}"/>
                </a:ext>
              </a:extLst>
            </xdr:cNvPr>
            <xdr:cNvGraphicFramePr/>
          </xdr:nvGraphicFramePr>
          <xdr:xfrm>
            <a:off x="0" y="0"/>
            <a:ext cx="0" cy="0"/>
          </xdr:xfrm>
          <a:graphic>
            <a:graphicData uri="http://schemas.microsoft.com/office/drawing/2010/slicer">
              <sle:slicer xmlns:sle="http://schemas.microsoft.com/office/drawing/2010/slicer" name="المحافظه 1"/>
            </a:graphicData>
          </a:graphic>
        </xdr:graphicFrame>
      </mc:Choice>
      <mc:Fallback xmlns="">
        <xdr:sp macro="" textlink="">
          <xdr:nvSpPr>
            <xdr:cNvPr id="0" name=""/>
            <xdr:cNvSpPr>
              <a:spLocks noTextEdit="1"/>
            </xdr:cNvSpPr>
          </xdr:nvSpPr>
          <xdr:spPr>
            <a:xfrm>
              <a:off x="405319" y="1866602"/>
              <a:ext cx="1932733" cy="13934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364787</xdr:colOff>
      <xdr:row>18</xdr:row>
      <xdr:rowOff>148618</xdr:rowOff>
    </xdr:from>
    <xdr:to>
      <xdr:col>3</xdr:col>
      <xdr:colOff>549991</xdr:colOff>
      <xdr:row>26</xdr:row>
      <xdr:rowOff>75101</xdr:rowOff>
    </xdr:to>
    <mc:AlternateContent xmlns:mc="http://schemas.openxmlformats.org/markup-compatibility/2006" xmlns:a14="http://schemas.microsoft.com/office/drawing/2010/main">
      <mc:Choice Requires="a14">
        <xdr:graphicFrame macro="">
          <xdr:nvGraphicFramePr>
            <xdr:cNvPr id="32" name="اسم المنتج 1">
              <a:extLst>
                <a:ext uri="{FF2B5EF4-FFF2-40B4-BE49-F238E27FC236}">
                  <a16:creationId xmlns:a16="http://schemas.microsoft.com/office/drawing/2014/main" id="{A0FF523A-4324-46FD-87AE-CE89C86348B9}"/>
                </a:ext>
              </a:extLst>
            </xdr:cNvPr>
            <xdr:cNvGraphicFramePr/>
          </xdr:nvGraphicFramePr>
          <xdr:xfrm>
            <a:off x="0" y="0"/>
            <a:ext cx="0" cy="0"/>
          </xdr:xfrm>
          <a:graphic>
            <a:graphicData uri="http://schemas.microsoft.com/office/drawing/2010/slicer">
              <sle:slicer xmlns:sle="http://schemas.microsoft.com/office/drawing/2010/slicer" name="اسم المنتج 1"/>
            </a:graphicData>
          </a:graphic>
        </xdr:graphicFrame>
      </mc:Choice>
      <mc:Fallback xmlns="">
        <xdr:sp macro="" textlink="">
          <xdr:nvSpPr>
            <xdr:cNvPr id="0" name=""/>
            <xdr:cNvSpPr>
              <a:spLocks noTextEdit="1"/>
            </xdr:cNvSpPr>
          </xdr:nvSpPr>
          <xdr:spPr>
            <a:xfrm>
              <a:off x="364787" y="3557565"/>
              <a:ext cx="2023362" cy="14415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256702</xdr:colOff>
      <xdr:row>0</xdr:row>
      <xdr:rowOff>148616</xdr:rowOff>
    </xdr:from>
    <xdr:to>
      <xdr:col>20</xdr:col>
      <xdr:colOff>597111</xdr:colOff>
      <xdr:row>2</xdr:row>
      <xdr:rowOff>179570</xdr:rowOff>
    </xdr:to>
    <mc:AlternateContent xmlns:mc="http://schemas.openxmlformats.org/markup-compatibility/2006" xmlns:a14="http://schemas.microsoft.com/office/drawing/2010/main">
      <mc:Choice Requires="a14">
        <xdr:graphicFrame macro="">
          <xdr:nvGraphicFramePr>
            <xdr:cNvPr id="34" name="Months (ميعاد الطلب) 1">
              <a:extLst>
                <a:ext uri="{FF2B5EF4-FFF2-40B4-BE49-F238E27FC236}">
                  <a16:creationId xmlns:a16="http://schemas.microsoft.com/office/drawing/2014/main" id="{B1820FD4-9903-4BA2-83B7-30E6F1FC278A}"/>
                </a:ext>
              </a:extLst>
            </xdr:cNvPr>
            <xdr:cNvGraphicFramePr/>
          </xdr:nvGraphicFramePr>
          <xdr:xfrm>
            <a:off x="0" y="0"/>
            <a:ext cx="0" cy="0"/>
          </xdr:xfrm>
          <a:graphic>
            <a:graphicData uri="http://schemas.microsoft.com/office/drawing/2010/slicer">
              <sle:slicer xmlns:sle="http://schemas.microsoft.com/office/drawing/2010/slicer" name="Months (ميعاد الطلب) 1"/>
            </a:graphicData>
          </a:graphic>
        </xdr:graphicFrame>
      </mc:Choice>
      <mc:Fallback xmlns="">
        <xdr:sp macro="" textlink="">
          <xdr:nvSpPr>
            <xdr:cNvPr id="0" name=""/>
            <xdr:cNvSpPr>
              <a:spLocks noTextEdit="1"/>
            </xdr:cNvSpPr>
          </xdr:nvSpPr>
          <xdr:spPr>
            <a:xfrm>
              <a:off x="7609334" y="148616"/>
              <a:ext cx="5242163" cy="4097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513405</xdr:colOff>
      <xdr:row>9</xdr:row>
      <xdr:rowOff>162128</xdr:rowOff>
    </xdr:from>
    <xdr:to>
      <xdr:col>10</xdr:col>
      <xdr:colOff>334370</xdr:colOff>
      <xdr:row>18</xdr:row>
      <xdr:rowOff>57580</xdr:rowOff>
    </xdr:to>
    <xdr:graphicFrame macro="">
      <xdr:nvGraphicFramePr>
        <xdr:cNvPr id="37" name="Chart 36">
          <a:extLst>
            <a:ext uri="{FF2B5EF4-FFF2-40B4-BE49-F238E27FC236}">
              <a16:creationId xmlns:a16="http://schemas.microsoft.com/office/drawing/2014/main" id="{1B6D9C51-BFAB-4DAA-994B-1E4CF38C3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459132</xdr:colOff>
      <xdr:row>19</xdr:row>
      <xdr:rowOff>4326</xdr:rowOff>
    </xdr:from>
    <xdr:to>
      <xdr:col>10</xdr:col>
      <xdr:colOff>257237</xdr:colOff>
      <xdr:row>27</xdr:row>
      <xdr:rowOff>59563</xdr:rowOff>
    </xdr:to>
    <xdr:graphicFrame macro="">
      <xdr:nvGraphicFramePr>
        <xdr:cNvPr id="38" name="Chart 37">
          <a:extLst>
            <a:ext uri="{FF2B5EF4-FFF2-40B4-BE49-F238E27FC236}">
              <a16:creationId xmlns:a16="http://schemas.microsoft.com/office/drawing/2014/main" id="{28A3018A-85AD-4475-8F28-940272B0F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336492</xdr:colOff>
      <xdr:row>19</xdr:row>
      <xdr:rowOff>20412</xdr:rowOff>
    </xdr:from>
    <xdr:to>
      <xdr:col>16</xdr:col>
      <xdr:colOff>512895</xdr:colOff>
      <xdr:row>27</xdr:row>
      <xdr:rowOff>89324</xdr:rowOff>
    </xdr:to>
    <xdr:grpSp>
      <xdr:nvGrpSpPr>
        <xdr:cNvPr id="39" name="Group 38">
          <a:extLst>
            <a:ext uri="{FF2B5EF4-FFF2-40B4-BE49-F238E27FC236}">
              <a16:creationId xmlns:a16="http://schemas.microsoft.com/office/drawing/2014/main" id="{6F484077-9ABA-41F0-A741-F9925700E42B}"/>
            </a:ext>
          </a:extLst>
        </xdr:cNvPr>
        <xdr:cNvGrpSpPr/>
      </xdr:nvGrpSpPr>
      <xdr:grpSpPr>
        <a:xfrm>
          <a:off x="7038316" y="3444263"/>
          <a:ext cx="3222687" cy="1510534"/>
          <a:chOff x="6873240" y="1623060"/>
          <a:chExt cx="3215640" cy="1569720"/>
        </a:xfrm>
      </xdr:grpSpPr>
      <xdr:sp macro="" textlink="">
        <xdr:nvSpPr>
          <xdr:cNvPr id="40" name="Rectangle: Rounded Corners 39">
            <a:extLst>
              <a:ext uri="{FF2B5EF4-FFF2-40B4-BE49-F238E27FC236}">
                <a16:creationId xmlns:a16="http://schemas.microsoft.com/office/drawing/2014/main" id="{6961F396-9554-4CE4-9C28-3434A714BC86}"/>
              </a:ext>
            </a:extLst>
          </xdr:cNvPr>
          <xdr:cNvSpPr/>
        </xdr:nvSpPr>
        <xdr:spPr>
          <a:xfrm>
            <a:off x="6873240" y="1623060"/>
            <a:ext cx="3215640" cy="1554480"/>
          </a:xfrm>
          <a:prstGeom prst="roundRect">
            <a:avLst/>
          </a:prstGeom>
          <a:solidFill>
            <a:schemeClr val="bg1"/>
          </a:solidFill>
          <a:ln>
            <a:noFill/>
          </a:ln>
          <a:effectLst>
            <a:outerShdw blurRad="1143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41" name="Chart 40">
            <a:extLst>
              <a:ext uri="{FF2B5EF4-FFF2-40B4-BE49-F238E27FC236}">
                <a16:creationId xmlns:a16="http://schemas.microsoft.com/office/drawing/2014/main" id="{50B63256-6AA4-0C28-2205-C4A0B94FF6FE}"/>
              </a:ext>
            </a:extLst>
          </xdr:cNvPr>
          <xdr:cNvGraphicFramePr>
            <a:graphicFrameLocks/>
          </xdr:cNvGraphicFramePr>
        </xdr:nvGraphicFramePr>
        <xdr:xfrm>
          <a:off x="7056120" y="1676400"/>
          <a:ext cx="2727960" cy="15163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11</xdr:col>
      <xdr:colOff>456755</xdr:colOff>
      <xdr:row>9</xdr:row>
      <xdr:rowOff>143063</xdr:rowOff>
    </xdr:from>
    <xdr:to>
      <xdr:col>18</xdr:col>
      <xdr:colOff>91720</xdr:colOff>
      <xdr:row>18</xdr:row>
      <xdr:rowOff>58590</xdr:rowOff>
    </xdr:to>
    <xdr:grpSp>
      <xdr:nvGrpSpPr>
        <xdr:cNvPr id="42" name="Group 41">
          <a:extLst>
            <a:ext uri="{FF2B5EF4-FFF2-40B4-BE49-F238E27FC236}">
              <a16:creationId xmlns:a16="http://schemas.microsoft.com/office/drawing/2014/main" id="{A65841C4-8E2A-4EF1-975C-8C4660232325}"/>
            </a:ext>
          </a:extLst>
        </xdr:cNvPr>
        <xdr:cNvGrpSpPr/>
      </xdr:nvGrpSpPr>
      <xdr:grpSpPr>
        <a:xfrm>
          <a:off x="7158579" y="1764887"/>
          <a:ext cx="3899763" cy="1537352"/>
          <a:chOff x="10509777" y="3368040"/>
          <a:chExt cx="3246120" cy="1603080"/>
        </a:xfrm>
      </xdr:grpSpPr>
      <xdr:sp macro="" textlink="">
        <xdr:nvSpPr>
          <xdr:cNvPr id="43" name="Rectangle: Rounded Corners 42">
            <a:extLst>
              <a:ext uri="{FF2B5EF4-FFF2-40B4-BE49-F238E27FC236}">
                <a16:creationId xmlns:a16="http://schemas.microsoft.com/office/drawing/2014/main" id="{893DCF6F-B5EA-2977-483E-87DCC49FAD48}"/>
              </a:ext>
            </a:extLst>
          </xdr:cNvPr>
          <xdr:cNvSpPr/>
        </xdr:nvSpPr>
        <xdr:spPr>
          <a:xfrm>
            <a:off x="10509777" y="3416640"/>
            <a:ext cx="3246120" cy="1554480"/>
          </a:xfrm>
          <a:prstGeom prst="roundRect">
            <a:avLst/>
          </a:prstGeom>
          <a:solidFill>
            <a:schemeClr val="bg1"/>
          </a:solidFill>
          <a:ln>
            <a:noFill/>
          </a:ln>
          <a:effectLst>
            <a:outerShdw blurRad="1143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44" name="Chart 43">
            <a:extLst>
              <a:ext uri="{FF2B5EF4-FFF2-40B4-BE49-F238E27FC236}">
                <a16:creationId xmlns:a16="http://schemas.microsoft.com/office/drawing/2014/main" id="{889CD584-88EA-590E-3918-878121677389}"/>
              </a:ext>
            </a:extLst>
          </xdr:cNvPr>
          <xdr:cNvGraphicFramePr>
            <a:graphicFrameLocks/>
          </xdr:cNvGraphicFramePr>
        </xdr:nvGraphicFramePr>
        <xdr:xfrm>
          <a:off x="10721340" y="3368040"/>
          <a:ext cx="2727960" cy="15163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348592</xdr:colOff>
      <xdr:row>3</xdr:row>
      <xdr:rowOff>156291</xdr:rowOff>
    </xdr:from>
    <xdr:to>
      <xdr:col>8</xdr:col>
      <xdr:colOff>323071</xdr:colOff>
      <xdr:row>9</xdr:row>
      <xdr:rowOff>4789</xdr:rowOff>
    </xdr:to>
    <xdr:sp macro="" textlink="">
      <xdr:nvSpPr>
        <xdr:cNvPr id="4" name="Rectangle: Rounded Corners 3">
          <a:extLst>
            <a:ext uri="{FF2B5EF4-FFF2-40B4-BE49-F238E27FC236}">
              <a16:creationId xmlns:a16="http://schemas.microsoft.com/office/drawing/2014/main" id="{4CEBD4EA-A447-71C0-47C4-CDFB6A8EFC35}"/>
            </a:ext>
          </a:extLst>
        </xdr:cNvPr>
        <xdr:cNvSpPr/>
      </xdr:nvSpPr>
      <xdr:spPr>
        <a:xfrm>
          <a:off x="2799469" y="724449"/>
          <a:ext cx="2425356" cy="984814"/>
        </a:xfrm>
        <a:prstGeom prst="roundRect">
          <a:avLst/>
        </a:prstGeom>
        <a:solidFill>
          <a:srgbClr val="2F2FE4"/>
        </a:solidFill>
        <a:ln>
          <a:solidFill>
            <a:srgbClr val="2F2FE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mn-lt"/>
              <a:ea typeface="+mn-ea"/>
              <a:cs typeface="+mn-cs"/>
            </a:rPr>
            <a:t>Total</a:t>
          </a:r>
          <a:r>
            <a:rPr lang="en-US" sz="2000" b="1" baseline="0">
              <a:solidFill>
                <a:schemeClr val="lt1"/>
              </a:solidFill>
              <a:effectLst/>
              <a:latin typeface="+mn-lt"/>
              <a:ea typeface="+mn-ea"/>
              <a:cs typeface="+mn-cs"/>
            </a:rPr>
            <a:t> Sales</a:t>
          </a:r>
          <a:endParaRPr lang="en-GB" sz="2000">
            <a:effectLst/>
          </a:endParaRPr>
        </a:p>
        <a:p>
          <a:pPr algn="l"/>
          <a:endParaRPr lang="en-GB" sz="1100"/>
        </a:p>
      </xdr:txBody>
    </xdr:sp>
    <xdr:clientData/>
  </xdr:twoCellAnchor>
  <xdr:twoCellAnchor>
    <xdr:from>
      <xdr:col>17</xdr:col>
      <xdr:colOff>312787</xdr:colOff>
      <xdr:row>19</xdr:row>
      <xdr:rowOff>12583</xdr:rowOff>
    </xdr:from>
    <xdr:to>
      <xdr:col>22</xdr:col>
      <xdr:colOff>590312</xdr:colOff>
      <xdr:row>27</xdr:row>
      <xdr:rowOff>107075</xdr:rowOff>
    </xdr:to>
    <xdr:grpSp>
      <xdr:nvGrpSpPr>
        <xdr:cNvPr id="45" name="Group 44">
          <a:extLst>
            <a:ext uri="{FF2B5EF4-FFF2-40B4-BE49-F238E27FC236}">
              <a16:creationId xmlns:a16="http://schemas.microsoft.com/office/drawing/2014/main" id="{3FE3F736-9605-4D61-B4AB-4917D20C9470}"/>
            </a:ext>
          </a:extLst>
        </xdr:cNvPr>
        <xdr:cNvGrpSpPr/>
      </xdr:nvGrpSpPr>
      <xdr:grpSpPr>
        <a:xfrm>
          <a:off x="10670152" y="3436434"/>
          <a:ext cx="3323809" cy="1536114"/>
          <a:chOff x="14940350" y="3508557"/>
          <a:chExt cx="3246120" cy="1555597"/>
        </a:xfrm>
      </xdr:grpSpPr>
      <xdr:sp macro="" textlink="">
        <xdr:nvSpPr>
          <xdr:cNvPr id="46" name="Rectangle: Rounded Corners 45">
            <a:extLst>
              <a:ext uri="{FF2B5EF4-FFF2-40B4-BE49-F238E27FC236}">
                <a16:creationId xmlns:a16="http://schemas.microsoft.com/office/drawing/2014/main" id="{E9790818-5FDB-5AF7-7AE0-1AD6A652D409}"/>
              </a:ext>
            </a:extLst>
          </xdr:cNvPr>
          <xdr:cNvSpPr/>
        </xdr:nvSpPr>
        <xdr:spPr>
          <a:xfrm>
            <a:off x="14940350" y="3508557"/>
            <a:ext cx="3246120" cy="1554480"/>
          </a:xfrm>
          <a:prstGeom prst="roundRect">
            <a:avLst/>
          </a:prstGeom>
          <a:solidFill>
            <a:schemeClr val="bg1"/>
          </a:solidFill>
          <a:ln>
            <a:noFill/>
          </a:ln>
          <a:effectLst>
            <a:outerShdw blurRad="1143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47" name="Chart 46">
            <a:extLst>
              <a:ext uri="{FF2B5EF4-FFF2-40B4-BE49-F238E27FC236}">
                <a16:creationId xmlns:a16="http://schemas.microsoft.com/office/drawing/2014/main" id="{C4D728E3-CDF6-3C9E-6EFD-0FBAE5424A80}"/>
              </a:ext>
            </a:extLst>
          </xdr:cNvPr>
          <xdr:cNvGraphicFramePr>
            <a:graphicFrameLocks/>
          </xdr:cNvGraphicFramePr>
        </xdr:nvGraphicFramePr>
        <xdr:xfrm>
          <a:off x="15191809" y="3547774"/>
          <a:ext cx="2804160" cy="15163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14</xdr:col>
      <xdr:colOff>401053</xdr:colOff>
      <xdr:row>40</xdr:row>
      <xdr:rowOff>144824</xdr:rowOff>
    </xdr:from>
    <xdr:ext cx="1749035" cy="264560"/>
    <xdr:sp macro="" textlink="">
      <xdr:nvSpPr>
        <xdr:cNvPr id="50" name="TextBox 49">
          <a:extLst>
            <a:ext uri="{FF2B5EF4-FFF2-40B4-BE49-F238E27FC236}">
              <a16:creationId xmlns:a16="http://schemas.microsoft.com/office/drawing/2014/main" id="{CC99B0A2-AC8B-57BD-11C2-CD9B8921D226}"/>
            </a:ext>
          </a:extLst>
        </xdr:cNvPr>
        <xdr:cNvSpPr txBox="1"/>
      </xdr:nvSpPr>
      <xdr:spPr>
        <a:xfrm>
          <a:off x="8979123" y="7720263"/>
          <a:ext cx="17490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9</xdr:col>
      <xdr:colOff>445614</xdr:colOff>
      <xdr:row>41</xdr:row>
      <xdr:rowOff>122541</xdr:rowOff>
    </xdr:from>
    <xdr:ext cx="1871579" cy="256229"/>
    <xdr:sp macro="" textlink="">
      <xdr:nvSpPr>
        <xdr:cNvPr id="51" name="TextBox 50">
          <a:extLst>
            <a:ext uri="{FF2B5EF4-FFF2-40B4-BE49-F238E27FC236}">
              <a16:creationId xmlns:a16="http://schemas.microsoft.com/office/drawing/2014/main" id="{D2F30C63-C64B-0C60-869B-C5EE3D89FCB0}"/>
            </a:ext>
          </a:extLst>
        </xdr:cNvPr>
        <xdr:cNvSpPr txBox="1"/>
      </xdr:nvSpPr>
      <xdr:spPr>
        <a:xfrm>
          <a:off x="5960088" y="7887366"/>
          <a:ext cx="1871579" cy="256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twoCellAnchor editAs="oneCell">
    <xdr:from>
      <xdr:col>10</xdr:col>
      <xdr:colOff>189387</xdr:colOff>
      <xdr:row>5</xdr:row>
      <xdr:rowOff>178245</xdr:rowOff>
    </xdr:from>
    <xdr:to>
      <xdr:col>12</xdr:col>
      <xdr:colOff>579300</xdr:colOff>
      <xdr:row>8</xdr:row>
      <xdr:rowOff>11139</xdr:rowOff>
    </xdr:to>
    <xdr:pic>
      <xdr:nvPicPr>
        <xdr:cNvPr id="53" name="Picture 52">
          <a:extLst>
            <a:ext uri="{FF2B5EF4-FFF2-40B4-BE49-F238E27FC236}">
              <a16:creationId xmlns:a16="http://schemas.microsoft.com/office/drawing/2014/main" id="{70957454-0868-FB22-C476-7CCC9E5F8E5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316580" y="1125175"/>
          <a:ext cx="1615352" cy="4010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256229</xdr:colOff>
      <xdr:row>5</xdr:row>
      <xdr:rowOff>169154</xdr:rowOff>
    </xdr:from>
    <xdr:to>
      <xdr:col>8</xdr:col>
      <xdr:colOff>272323</xdr:colOff>
      <xdr:row>7</xdr:row>
      <xdr:rowOff>133683</xdr:rowOff>
    </xdr:to>
    <xdr:pic>
      <xdr:nvPicPr>
        <xdr:cNvPr id="54" name="Picture 53">
          <a:extLst>
            <a:ext uri="{FF2B5EF4-FFF2-40B4-BE49-F238E27FC236}">
              <a16:creationId xmlns:a16="http://schemas.microsoft.com/office/drawing/2014/main" id="{E9DF0A78-DCA6-3E1F-8F49-4237AEF714E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319825" y="1116084"/>
          <a:ext cx="1854252" cy="343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367631</xdr:colOff>
      <xdr:row>6</xdr:row>
      <xdr:rowOff>11140</xdr:rowOff>
    </xdr:from>
    <xdr:to>
      <xdr:col>22</xdr:col>
      <xdr:colOff>386321</xdr:colOff>
      <xdr:row>8</xdr:row>
      <xdr:rowOff>39771</xdr:rowOff>
    </xdr:to>
    <xdr:pic>
      <xdr:nvPicPr>
        <xdr:cNvPr id="55" name="Picture 54">
          <a:extLst>
            <a:ext uri="{FF2B5EF4-FFF2-40B4-BE49-F238E27FC236}">
              <a16:creationId xmlns:a16="http://schemas.microsoft.com/office/drawing/2014/main" id="{1FDA61BE-9714-1C1C-C856-3DF0638F1F3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009298" y="1147456"/>
          <a:ext cx="1856848" cy="407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89123</xdr:colOff>
      <xdr:row>11</xdr:row>
      <xdr:rowOff>55701</xdr:rowOff>
    </xdr:from>
    <xdr:to>
      <xdr:col>22</xdr:col>
      <xdr:colOff>314330</xdr:colOff>
      <xdr:row>12</xdr:row>
      <xdr:rowOff>184595</xdr:rowOff>
    </xdr:to>
    <xdr:pic>
      <xdr:nvPicPr>
        <xdr:cNvPr id="56" name="Picture 55">
          <a:extLst>
            <a:ext uri="{FF2B5EF4-FFF2-40B4-BE49-F238E27FC236}">
              <a16:creationId xmlns:a16="http://schemas.microsoft.com/office/drawing/2014/main" id="{0F1B7EA5-13E4-DA86-0DE9-128D27CB21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343509" y="2138947"/>
          <a:ext cx="1450646" cy="31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bdullah" refreshedDate="46215.89831423611" createdVersion="8" refreshedVersion="8" minRefreshableVersion="3" recordCount="113" xr:uid="{B8A7C3D2-540C-40BD-90B7-98201C3D2A1C}">
  <cacheSource type="worksheet">
    <worksheetSource name="sales"/>
  </cacheSource>
  <cacheFields count="26">
    <cacheField name="أسم العميل" numFmtId="0">
      <sharedItems count="77">
        <s v="خالد عبد القوى "/>
        <s v="محمود"/>
        <s v="سعيد"/>
        <s v="ساندرا"/>
        <s v="زينا "/>
        <s v="شيك هومز"/>
        <s v="احمد "/>
        <s v="yilmaz"/>
        <s v="تاكى"/>
        <s v="على رشوان "/>
        <s v="احمد فخرى "/>
        <s v="لينا "/>
        <s v="فيصل نعيم "/>
        <s v="ellho elkafy"/>
        <s v="صفاء"/>
        <s v="حسن حازم"/>
        <s v="اوسكار راتن"/>
        <s v="صفاء الحكيم"/>
        <s v="يوسف شناوى"/>
        <s v="حاتم العيسوي "/>
        <s v="رنا "/>
        <s v="عبير نور الدين"/>
        <s v="اسراء ابو العنين "/>
        <s v="وائل صادق"/>
        <s v="حسن مغرب "/>
        <s v="على السيد "/>
        <s v="هشام بسيونى "/>
        <s v="ساره وجيه "/>
        <s v="مها "/>
        <s v="بسام الشربينى "/>
        <s v="هبه عبد الفتاح "/>
        <s v="اسراء ابراهيم "/>
        <s v="طارق كمال "/>
        <s v="ديفد بهجت "/>
        <s v="اياد "/>
        <s v="ميار خورشد"/>
        <s v="عبد الله سيد "/>
        <s v="كينج سونا "/>
        <s v="احمد خالد "/>
        <s v="ساره"/>
        <s v="احمد ايمن "/>
        <s v="مصطفي غنيم "/>
        <s v="حسام عبدون"/>
        <s v="رامى "/>
        <s v="رحاب"/>
        <s v="فؤاد المنسي "/>
        <s v="mohannad"/>
        <s v="Mohamed Ayman"/>
        <s v="اسامه"/>
        <s v="ولاء بدوى"/>
        <s v="عبد الرحمن يسري"/>
        <s v="الحج محمد السويس"/>
        <s v="عمرو الأسود"/>
        <s v="keira"/>
        <s v="tarek"/>
        <s v="reem"/>
        <s v="هشام سامى"/>
        <s v="فاطمه محمد"/>
        <s v="هومزمارت"/>
        <s v="محمد شكرى "/>
        <s v="منزلى"/>
        <s v="حماده"/>
        <s v="صفاء عبد الباقي"/>
        <s v="رندا العامرى "/>
        <s v="محمد حمدى"/>
        <s v="بافلى هانى "/>
        <s v="رنا ميلاد"/>
        <s v="محمد ناجى"/>
        <s v="احمد عبد الستار"/>
        <s v="نور "/>
        <s v="نور"/>
        <s v="تامر"/>
        <s v="هناء اسامه"/>
        <s v="محمد عادل "/>
        <s v="مريم عنان"/>
        <s v="هبه عطيه "/>
        <s v="حمدى ذكرى"/>
      </sharedItems>
    </cacheField>
    <cacheField name="trimmed" numFmtId="0">
      <sharedItems/>
    </cacheField>
    <cacheField name="نوع العميل" numFmtId="0">
      <sharedItems count="2">
        <s v="افراد"/>
        <s v="شركات"/>
      </sharedItems>
    </cacheField>
    <cacheField name="المحافظه" numFmtId="0">
      <sharedItems containsBlank="1" count="16">
        <s v=" الجيزه"/>
        <s v=" اسكندريه"/>
        <s v="الساحل الشمالي"/>
        <s v="الغردقه"/>
        <s v="القاهرة"/>
        <s v="القناطر"/>
        <s v="العين السخنه"/>
        <s v="اسيوط"/>
        <s v="القليوبيه"/>
        <s v="السويس "/>
        <s v="العاصمه الاداريه"/>
        <m u="1"/>
        <s v="الغردقه " u="1"/>
        <s v="الساحل الشمالى" u="1"/>
        <s v=" الساحل الشمالى" u="1"/>
        <s v="اسيوط " u="1"/>
      </sharedItems>
    </cacheField>
    <cacheField name="العنوان" numFmtId="0">
      <sharedItems containsBlank="1"/>
    </cacheField>
    <cacheField name="منصة البيع " numFmtId="0">
      <sharedItems count="12">
        <s v="هومزمارت"/>
        <s v="شيك هومز"/>
        <s v="فيس بوك"/>
        <s v="تاكى"/>
        <s v="اوسكار ريتن "/>
        <s v="ترشيح عميل"/>
        <s v="منزلى"/>
        <s v="كيمت "/>
        <s v="منزلى " u="1"/>
        <s v="هومزمارت " u="1"/>
        <s v="شيك هومز " u="1"/>
        <s v="تاكى " u="1"/>
      </sharedItems>
    </cacheField>
    <cacheField name="اسم المنتج" numFmtId="0">
      <sharedItems count="7">
        <s v="سرير"/>
        <s v="ترابيزه"/>
        <s v="كنبة "/>
        <s v="ركنة بسرير"/>
        <s v="كرسى"/>
        <s v="شيزلونج"/>
        <s v="سرير " u="1"/>
      </sharedItems>
    </cacheField>
    <cacheField name="تصميم" numFmtId="0">
      <sharedItems containsBlank="1"/>
    </cacheField>
    <cacheField name="النوع" numFmtId="0">
      <sharedItems containsBlank="1"/>
    </cacheField>
    <cacheField name="المقاس" numFmtId="0">
      <sharedItems containsString="0" containsBlank="1" containsNumber="1" containsInteger="1" minValue="80" maxValue="160"/>
    </cacheField>
    <cacheField name="لون المعدن" numFmtId="0">
      <sharedItems containsBlank="1" count="14">
        <s v="ابيض"/>
        <s v="اسود"/>
        <s v="ازرق"/>
        <m/>
        <s v="رمادى"/>
        <s v="دهبي"/>
        <s v="بنفسجى"/>
        <s v="ملون"/>
        <s v="بينك"/>
        <s v="نبيتى "/>
        <s v="الوان" u="1"/>
        <s v=" اسود" u="1"/>
        <s v="اسود " u="1"/>
        <s v="ابيض " u="1"/>
      </sharedItems>
    </cacheField>
    <cacheField name="لون القماش" numFmtId="0">
      <sharedItems containsBlank="1"/>
    </cacheField>
    <cacheField name="وصف المنتج" numFmtId="0">
      <sharedItems containsBlank="1"/>
    </cacheField>
    <cacheField name="سعر البيع " numFmtId="1">
      <sharedItems containsString="0" containsBlank="1" containsNumber="1" minValue="4020" maxValue="21999"/>
    </cacheField>
    <cacheField name="الكميه" numFmtId="1">
      <sharedItems containsString="0" containsBlank="1" containsNumber="1" containsInteger="1" minValue="1" maxValue="4"/>
    </cacheField>
    <cacheField name="عربون" numFmtId="1">
      <sharedItems containsString="0" containsBlank="1" containsNumber="1" minValue="0" maxValue="21999"/>
    </cacheField>
    <cacheField name="طريقه الدفع " numFmtId="49">
      <sharedItems containsBlank="1"/>
    </cacheField>
    <cacheField name="ميعاد الطلب" numFmtId="14">
      <sharedItems containsNonDate="0" containsDate="1" containsString="0" containsBlank="1" minDate="2024-07-27T00:00:00" maxDate="2024-12-15T00:00:00" count="56">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5"/>
    </cacheField>
    <cacheField name="ميعاد التسليم" numFmtId="14">
      <sharedItems containsNonDate="0" containsDate="1" containsString="0" containsBlank="1" minDate="2024-08-11T00:00:00" maxDate="2025-01-06T00:00:00"/>
    </cacheField>
    <cacheField name="تاريخ التسليم" numFmtId="14">
      <sharedItems containsNonDate="0" containsDate="1" containsString="0" containsBlank="1" minDate="2024-08-10T00:00:00" maxDate="2024-12-30T00:00:00"/>
    </cacheField>
    <cacheField name="Delivery Performance" numFmtId="49">
      <sharedItems count="3">
        <s v="on time"/>
        <s v="cancelled"/>
        <s v="late"/>
      </sharedItems>
    </cacheField>
    <cacheField name="عدد أيام انتظار العميل" numFmtId="1">
      <sharedItems containsString="0" containsBlank="1" containsNumber="1" containsInteger="1" minValue="1" maxValue="59"/>
    </cacheField>
    <cacheField name="المسئول عن التسليم" numFmtId="0">
      <sharedItems/>
    </cacheField>
    <cacheField name="الحالة" numFmtId="0">
      <sharedItems count="3">
        <s v="تم التسليم"/>
        <s v="مرتجع"/>
        <s v="تم التسليم " u="1"/>
      </sharedItems>
    </cacheField>
    <cacheField name="Days (ميعاد الطلب)" numFmtId="0" databaseField="0">
      <fieldGroup base="17">
        <rangePr groupBy="days" startDate="2024-07-27T00:00:00" endDate="2024-12-15T00:00:00"/>
        <groupItems count="368">
          <s v="&lt;27/07/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4"/>
        </groupItems>
      </fieldGroup>
    </cacheField>
    <cacheField name="Months (ميعاد الطلب)" numFmtId="0" databaseField="0">
      <fieldGroup base="17">
        <rangePr groupBy="months" startDate="2024-07-27T00:00:00" endDate="2024-12-15T00:00:00"/>
        <groupItems count="14">
          <s v="&lt;27/07/2024"/>
          <s v="Jan"/>
          <s v="Feb"/>
          <s v="Mar"/>
          <s v="Apr"/>
          <s v="May"/>
          <s v="Jun"/>
          <s v="Jul"/>
          <s v="Aug"/>
          <s v="Sep"/>
          <s v="Oct"/>
          <s v="Nov"/>
          <s v="Dec"/>
          <s v="&gt;15/12/2024"/>
        </groupItems>
      </fieldGroup>
    </cacheField>
  </cacheFields>
  <extLst>
    <ext xmlns:x14="http://schemas.microsoft.com/office/spreadsheetml/2009/9/main" uri="{725AE2AE-9491-48be-B2B4-4EB974FC3084}">
      <x14:pivotCacheDefinition pivotCacheId="45146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s v="خالد عبد القوى"/>
    <x v="0"/>
    <x v="0"/>
    <s v="العجوزه - الجيزه"/>
    <x v="0"/>
    <x v="0"/>
    <s v="منطبق"/>
    <m/>
    <m/>
    <x v="0"/>
    <s v="ابيض"/>
    <s v="سريرمنطبق الحديد ابيضوالقماش ابيض"/>
    <n v="10160"/>
    <n v="1"/>
    <n v="10160"/>
    <s v="مسبق الدفع"/>
    <x v="0"/>
    <d v="2024-08-11T00:00:00"/>
    <d v="2024-08-10T00:00:00"/>
    <x v="0"/>
    <n v="14"/>
    <s v=" شركه شحن"/>
    <x v="0"/>
  </r>
  <r>
    <x v="1"/>
    <s v="محمود"/>
    <x v="0"/>
    <x v="1"/>
    <s v="سموحه - اسكندريه"/>
    <x v="0"/>
    <x v="0"/>
    <s v="منطبق"/>
    <m/>
    <m/>
    <x v="1"/>
    <s v="اسود"/>
    <s v="سريرمنطبقاسودوالقماشاسود"/>
    <n v="10160"/>
    <n v="1"/>
    <n v="9749"/>
    <s v="مسبق دفع عربون"/>
    <x v="1"/>
    <d v="2024-08-17T00:00:00"/>
    <d v="2024-08-11T00:00:00"/>
    <x v="0"/>
    <n v="14"/>
    <s v=" شركه شحن"/>
    <x v="0"/>
  </r>
  <r>
    <x v="2"/>
    <s v="سعيد"/>
    <x v="0"/>
    <x v="2"/>
    <s v="سيدى عبد الرحمن -الساحل الشمالي "/>
    <x v="0"/>
    <x v="0"/>
    <s v="دورين"/>
    <s v="كيفنج"/>
    <n v="90"/>
    <x v="2"/>
    <m/>
    <s v="سريركيفينج مقاس 90 لون ازرق "/>
    <n v="11455"/>
    <n v="1"/>
    <n v="10067.68"/>
    <s v="مسبق دفع عربون"/>
    <x v="0"/>
    <d v="2024-08-14T00:00:00"/>
    <m/>
    <x v="1"/>
    <m/>
    <s v="محمود على"/>
    <x v="1"/>
  </r>
  <r>
    <x v="3"/>
    <s v="ساندرا"/>
    <x v="0"/>
    <x v="3"/>
    <s v="الغردقه"/>
    <x v="0"/>
    <x v="1"/>
    <s v="متحركه"/>
    <m/>
    <m/>
    <x v="3"/>
    <m/>
    <s v="ترابيزه قهوه متحركه "/>
    <n v="8642"/>
    <n v="1"/>
    <n v="0"/>
    <s v="مسبق الدفع"/>
    <x v="2"/>
    <d v="2024-09-07T00:00:00"/>
    <d v="2024-08-27T00:00:00"/>
    <x v="0"/>
    <n v="2"/>
    <s v=" شركه شحن"/>
    <x v="0"/>
  </r>
  <r>
    <x v="4"/>
    <s v="زينا"/>
    <x v="0"/>
    <x v="2"/>
    <s v="سيدى عبد الرحمن -الساحل الشمالي "/>
    <x v="0"/>
    <x v="0"/>
    <s v="دورين"/>
    <s v="نوفال"/>
    <n v="100"/>
    <x v="4"/>
    <m/>
    <s v="سريرنوفال متر رمادى "/>
    <n v="12974.22"/>
    <n v="1"/>
    <n v="12974.22"/>
    <s v="مسبق الدفع"/>
    <x v="3"/>
    <d v="2024-08-31T00:00:00"/>
    <m/>
    <x v="1"/>
    <m/>
    <s v="محمود على"/>
    <x v="1"/>
  </r>
  <r>
    <x v="5"/>
    <s v="شيك هومز"/>
    <x v="1"/>
    <x v="4"/>
    <m/>
    <x v="1"/>
    <x v="2"/>
    <s v="4*1"/>
    <m/>
    <m/>
    <x v="4"/>
    <s v="رمادى"/>
    <s v="كنبه سريررمادى "/>
    <n v="14550"/>
    <n v="4"/>
    <n v="14550"/>
    <s v="مسبق الدفع"/>
    <x v="4"/>
    <d v="2024-09-03T00:00:00"/>
    <d v="2024-09-05T00:00:00"/>
    <x v="2"/>
    <n v="22"/>
    <s v=" شركه شحن"/>
    <x v="0"/>
  </r>
  <r>
    <x v="6"/>
    <s v="احمد"/>
    <x v="0"/>
    <x v="4"/>
    <s v="التجمع الخامس"/>
    <x v="2"/>
    <x v="2"/>
    <s v="4*1"/>
    <m/>
    <m/>
    <x v="4"/>
    <s v="رمادى"/>
    <s v="كنبه سريررمادى "/>
    <n v="12000"/>
    <n v="4"/>
    <n v="12000"/>
    <s v="مسبق الدفع"/>
    <x v="5"/>
    <d v="2024-08-20T00:00:00"/>
    <d v="2024-08-19T00:00:00"/>
    <x v="0"/>
    <n v="2"/>
    <s v=" شركه شحن "/>
    <x v="0"/>
  </r>
  <r>
    <x v="7"/>
    <s v="yilmaz"/>
    <x v="0"/>
    <x v="4"/>
    <s v="٦ اكتوبر الجيزه "/>
    <x v="0"/>
    <x v="0"/>
    <s v="فردى"/>
    <m/>
    <m/>
    <x v="0"/>
    <m/>
    <s v="سريرفردى ابيض"/>
    <n v="7228"/>
    <n v="1"/>
    <n v="7228"/>
    <s v="مسبق الدفع"/>
    <x v="2"/>
    <d v="2024-09-03T00:00:00"/>
    <d v="2024-09-10T00:00:00"/>
    <x v="2"/>
    <n v="16"/>
    <s v=" شركه شحن"/>
    <x v="0"/>
  </r>
  <r>
    <x v="8"/>
    <s v="تاكى"/>
    <x v="1"/>
    <x v="4"/>
    <s v="العباسيه"/>
    <x v="3"/>
    <x v="3"/>
    <m/>
    <m/>
    <m/>
    <x v="3"/>
    <m/>
    <s v="ركنة بسرير"/>
    <n v="7228"/>
    <n v="1"/>
    <n v="7228"/>
    <s v="مسبق الدفع"/>
    <x v="6"/>
    <d v="2024-09-01T00:00:00"/>
    <d v="2024-09-17T00:00:00"/>
    <x v="2"/>
    <n v="29"/>
    <s v="محمود على"/>
    <x v="0"/>
  </r>
  <r>
    <x v="8"/>
    <s v="تاكى"/>
    <x v="1"/>
    <x v="4"/>
    <s v="العباسيه"/>
    <x v="3"/>
    <x v="2"/>
    <s v="سحارة"/>
    <m/>
    <m/>
    <x v="3"/>
    <m/>
    <s v="٢ كنبه سحاره بمخدع"/>
    <n v="16000"/>
    <n v="2"/>
    <n v="16000"/>
    <s v="مسبق الدفع"/>
    <x v="7"/>
    <m/>
    <m/>
    <x v="1"/>
    <m/>
    <s v="محمود على"/>
    <x v="1"/>
  </r>
  <r>
    <x v="8"/>
    <s v="تاكى"/>
    <x v="1"/>
    <x v="4"/>
    <s v="العباسيه "/>
    <x v="3"/>
    <x v="2"/>
    <s v="سحارة"/>
    <m/>
    <m/>
    <x v="3"/>
    <m/>
    <s v="٢ كنبه سحاره بدون مخدع "/>
    <n v="12000"/>
    <n v="2"/>
    <n v="6000"/>
    <s v="مسبق دفع عربون"/>
    <x v="2"/>
    <d v="2024-09-15T00:00:00"/>
    <d v="2024-09-17T00:00:00"/>
    <x v="2"/>
    <n v="23"/>
    <s v="محمود على"/>
    <x v="0"/>
  </r>
  <r>
    <x v="8"/>
    <s v="تاكى"/>
    <x v="1"/>
    <x v="4"/>
    <s v="العباسيه "/>
    <x v="3"/>
    <x v="2"/>
    <s v="سحارة"/>
    <m/>
    <m/>
    <x v="3"/>
    <m/>
    <s v="٢ كنبه سحاره بدون مخدع "/>
    <n v="12000"/>
    <n v="2"/>
    <n v="0"/>
    <s v="الدفع عند الاستلام"/>
    <x v="2"/>
    <d v="2024-09-15T00:00:00"/>
    <d v="2024-09-17T00:00:00"/>
    <x v="2"/>
    <n v="23"/>
    <s v="محمود على"/>
    <x v="0"/>
  </r>
  <r>
    <x v="9"/>
    <s v="على رشوان"/>
    <x v="0"/>
    <x v="4"/>
    <s v="مصر الجديده"/>
    <x v="0"/>
    <x v="0"/>
    <s v="دورين"/>
    <s v="نوفال"/>
    <n v="80"/>
    <x v="0"/>
    <m/>
    <s v="سريرنوفال ابيضمقاس ٨٠"/>
    <n v="10499"/>
    <n v="1"/>
    <n v="8924"/>
    <s v="مسبق دفع عربون"/>
    <x v="8"/>
    <d v="2024-09-16T00:00:00"/>
    <d v="2024-09-08T00:00:00"/>
    <x v="0"/>
    <n v="7"/>
    <s v=" شركه شحن"/>
    <x v="0"/>
  </r>
  <r>
    <x v="10"/>
    <s v="احمد فخرى"/>
    <x v="0"/>
    <x v="0"/>
    <s v="٦ اكتوبر الجيزه "/>
    <x v="0"/>
    <x v="0"/>
    <s v="فردى"/>
    <s v="نوفال"/>
    <n v="80"/>
    <x v="0"/>
    <m/>
    <s v="سريرفردى خشب موسكى الحديد ابيضمقاس ٨٠"/>
    <n v="7295"/>
    <n v="1"/>
    <n v="5895"/>
    <s v="مسبق دفع عربون"/>
    <x v="9"/>
    <d v="2024-09-14T00:00:00"/>
    <m/>
    <x v="1"/>
    <m/>
    <s v="محمود على"/>
    <x v="1"/>
  </r>
  <r>
    <x v="11"/>
    <s v="لينا"/>
    <x v="0"/>
    <x v="4"/>
    <s v="المقطم "/>
    <x v="0"/>
    <x v="1"/>
    <s v="2 ميكانزم"/>
    <m/>
    <m/>
    <x v="3"/>
    <m/>
    <s v="ترابيزه قهوه علويه جديده "/>
    <n v="7849"/>
    <n v="1"/>
    <n v="7849"/>
    <s v="مسبق الدفع"/>
    <x v="10"/>
    <d v="2024-09-16T00:00:00"/>
    <m/>
    <x v="1"/>
    <m/>
    <s v=" شركه شحن "/>
    <x v="1"/>
  </r>
  <r>
    <x v="12"/>
    <s v="فيصل نعيم"/>
    <x v="0"/>
    <x v="4"/>
    <s v="التجمع الخامس "/>
    <x v="4"/>
    <x v="0"/>
    <s v="دورين"/>
    <s v="كيفنج"/>
    <n v="120"/>
    <x v="1"/>
    <m/>
    <s v="٢ سريركيفنج ١٢٠اسود"/>
    <n v="9700"/>
    <n v="2"/>
    <n v="0"/>
    <s v="الدفع عند الاستلام"/>
    <x v="11"/>
    <d v="2024-09-16T00:00:00"/>
    <d v="2024-09-15T00:00:00"/>
    <x v="0"/>
    <n v="12"/>
    <s v="محمود على"/>
    <x v="0"/>
  </r>
  <r>
    <x v="13"/>
    <s v="ellho elkafy"/>
    <x v="0"/>
    <x v="4"/>
    <s v="مدينه نصر "/>
    <x v="0"/>
    <x v="0"/>
    <s v="دورين"/>
    <s v="كينج"/>
    <n v="80"/>
    <x v="0"/>
    <m/>
    <s v="سريركينج ابيضمقاس ٨٠ التصميم الجديد "/>
    <n v="11199"/>
    <n v="1"/>
    <n v="0"/>
    <s v="الدفع عند الاستلام"/>
    <x v="10"/>
    <d v="2024-09-18T00:00:00"/>
    <m/>
    <x v="1"/>
    <m/>
    <s v="محمود على"/>
    <x v="1"/>
  </r>
  <r>
    <x v="6"/>
    <s v="احمد"/>
    <x v="0"/>
    <x v="4"/>
    <s v="القاهره الجديده"/>
    <x v="0"/>
    <x v="0"/>
    <s v="فردى"/>
    <s v="فورجينا"/>
    <n v="80"/>
    <x v="0"/>
    <m/>
    <s v="٤سريرفردى خشب موسكى الحديد ابيضمقاس ٨٠"/>
    <n v="7987"/>
    <n v="4"/>
    <n v="7987"/>
    <s v="مسبق الدفع"/>
    <x v="12"/>
    <d v="2024-09-16T00:00:00"/>
    <d v="2024-09-21T00:00:00"/>
    <x v="2"/>
    <n v="15"/>
    <s v="محمود على"/>
    <x v="0"/>
  </r>
  <r>
    <x v="8"/>
    <s v="تاكى"/>
    <x v="1"/>
    <x v="4"/>
    <s v="العباسيه"/>
    <x v="3"/>
    <x v="4"/>
    <s v="فنيسيا"/>
    <m/>
    <m/>
    <x v="3"/>
    <m/>
    <s v="٢ فوتيه فنيسيا "/>
    <n v="9300"/>
    <n v="2"/>
    <n v="0"/>
    <s v="الدفع عند الاستلام"/>
    <x v="10"/>
    <d v="2024-09-15T00:00:00"/>
    <d v="2024-09-17T00:00:00"/>
    <x v="2"/>
    <n v="13"/>
    <s v="محمود على"/>
    <x v="0"/>
  </r>
  <r>
    <x v="14"/>
    <s v="صفاء"/>
    <x v="0"/>
    <x v="4"/>
    <s v="المعادى"/>
    <x v="0"/>
    <x v="1"/>
    <s v="2 ميكانزم"/>
    <m/>
    <m/>
    <x v="3"/>
    <m/>
    <s v="ترابيزه قهوه علويه جديده "/>
    <n v="8849"/>
    <n v="1"/>
    <n v="8849"/>
    <s v="مسبق الدفع"/>
    <x v="11"/>
    <d v="2024-10-16T00:00:00"/>
    <m/>
    <x v="1"/>
    <m/>
    <s v="محمود على"/>
    <x v="1"/>
  </r>
  <r>
    <x v="15"/>
    <s v="حسن حازم"/>
    <x v="0"/>
    <x v="0"/>
    <s v="٦ اكتوبر الجيزه "/>
    <x v="0"/>
    <x v="0"/>
    <s v="فردى"/>
    <s v="اسبانى"/>
    <n v="120"/>
    <x v="0"/>
    <m/>
    <s v="سريراسبانى ابيض١٢٠"/>
    <n v="10987"/>
    <n v="1"/>
    <n v="10987"/>
    <s v="مسبق الدفع"/>
    <x v="13"/>
    <d v="2024-09-17T00:00:00"/>
    <d v="2024-09-21T00:00:00"/>
    <x v="2"/>
    <n v="12"/>
    <s v="محمود على"/>
    <x v="0"/>
  </r>
  <r>
    <x v="5"/>
    <s v="شيك هومز"/>
    <x v="1"/>
    <x v="4"/>
    <m/>
    <x v="1"/>
    <x v="0"/>
    <s v="دورين"/>
    <s v="كينج"/>
    <n v="100"/>
    <x v="0"/>
    <m/>
    <s v="سريركينج ابيض"/>
    <n v="9208"/>
    <n v="1"/>
    <n v="5781.75"/>
    <s v="مسبق دفع عربون"/>
    <x v="8"/>
    <d v="2024-09-19T00:00:00"/>
    <d v="2024-09-21T00:00:00"/>
    <x v="2"/>
    <n v="20"/>
    <s v="محمود على"/>
    <x v="0"/>
  </r>
  <r>
    <x v="5"/>
    <s v="شيك هومز"/>
    <x v="1"/>
    <x v="4"/>
    <m/>
    <x v="1"/>
    <x v="0"/>
    <s v="دورين"/>
    <s v="كينج"/>
    <n v="100"/>
    <x v="1"/>
    <m/>
    <s v="سريركينجاسود"/>
    <n v="9208"/>
    <n v="1"/>
    <n v="1278.53"/>
    <s v="مسبق دفع عربون"/>
    <x v="8"/>
    <d v="2024-09-19T00:00:00"/>
    <d v="2024-09-21T00:00:00"/>
    <x v="2"/>
    <n v="20"/>
    <s v="محمود على"/>
    <x v="0"/>
  </r>
  <r>
    <x v="16"/>
    <s v="اوسكار راتن"/>
    <x v="1"/>
    <x v="5"/>
    <s v="مخزن اوسكار في القناطر "/>
    <x v="4"/>
    <x v="0"/>
    <s v="فردى"/>
    <s v="فورجينا"/>
    <n v="120"/>
    <x v="0"/>
    <m/>
    <s v="٢ سريرفورجينا خشب موسكى ابيضمقاس ١٢٠"/>
    <n v="4020"/>
    <n v="1"/>
    <n v="0"/>
    <s v="حساب شركه"/>
    <x v="14"/>
    <d v="2024-09-21T00:00:00"/>
    <d v="2024-09-22T00:00:00"/>
    <x v="2"/>
    <n v="10"/>
    <s v="محمود على"/>
    <x v="0"/>
  </r>
  <r>
    <x v="16"/>
    <s v="اوسكار راتن"/>
    <x v="1"/>
    <x v="5"/>
    <s v="مخزن اوسكار في القناطر "/>
    <x v="4"/>
    <x v="0"/>
    <s v="فردى"/>
    <s v="ارفيل"/>
    <n v="120"/>
    <x v="1"/>
    <m/>
    <s v="٢ سريرارفيل ١٢٠اسود"/>
    <n v="8040"/>
    <n v="2"/>
    <n v="8040"/>
    <s v="مسبق الدفع "/>
    <x v="14"/>
    <d v="2024-09-21T00:00:00"/>
    <d v="2024-09-22T00:00:00"/>
    <x v="2"/>
    <n v="10"/>
    <s v="محمود على"/>
    <x v="0"/>
  </r>
  <r>
    <x v="17"/>
    <s v="صفاء الحكيم"/>
    <x v="0"/>
    <x v="6"/>
    <s v="العين السخنه"/>
    <x v="0"/>
    <x v="0"/>
    <s v="منطبق"/>
    <m/>
    <m/>
    <x v="1"/>
    <s v="اسود"/>
    <s v="سريرمنطببقاسودوقماشاسود"/>
    <n v="9399"/>
    <n v="1"/>
    <n v="9399"/>
    <s v="مسبق الدفع "/>
    <x v="15"/>
    <d v="2024-09-22T00:00:00"/>
    <m/>
    <x v="1"/>
    <m/>
    <s v="محمود على"/>
    <x v="1"/>
  </r>
  <r>
    <x v="18"/>
    <s v="يوسف شناوى"/>
    <x v="0"/>
    <x v="1"/>
    <s v="الابراهيميه . الإسكندرية "/>
    <x v="0"/>
    <x v="1"/>
    <s v="رف سحاب"/>
    <m/>
    <m/>
    <x v="3"/>
    <m/>
    <s v="ترابيزه قهوه علويه برف سحاب "/>
    <n v="8349"/>
    <n v="1"/>
    <n v="8349"/>
    <s v="مسبق الدفع "/>
    <x v="15"/>
    <d v="2024-09-22T00:00:00"/>
    <d v="2024-09-24T00:00:00"/>
    <x v="2"/>
    <n v="10"/>
    <s v=" شركه شحن"/>
    <x v="0"/>
  </r>
  <r>
    <x v="19"/>
    <s v="حاتم العيسوي"/>
    <x v="0"/>
    <x v="0"/>
    <s v="٦ اكتوبر الجيزه "/>
    <x v="0"/>
    <x v="0"/>
    <s v="منطبق"/>
    <m/>
    <m/>
    <x v="1"/>
    <s v="اسود"/>
    <s v="سريرمنطبقاسودحديد وقماش"/>
    <n v="9399"/>
    <n v="1"/>
    <n v="9399"/>
    <s v="مسبق الدفع"/>
    <x v="16"/>
    <d v="2024-09-24T00:00:00"/>
    <d v="2024-09-30T00:00:00"/>
    <x v="2"/>
    <n v="17"/>
    <s v=" شركه شحن"/>
    <x v="0"/>
  </r>
  <r>
    <x v="20"/>
    <s v="رنا"/>
    <x v="0"/>
    <x v="4"/>
    <s v="القطاميه "/>
    <x v="0"/>
    <x v="1"/>
    <s v="2 ميكانزم"/>
    <m/>
    <m/>
    <x v="3"/>
    <m/>
    <s v="ترابيزه قهوه علويه جديده "/>
    <n v="7928"/>
    <n v="1"/>
    <n v="0"/>
    <s v="الدفع عند الاستلام"/>
    <x v="14"/>
    <d v="2024-09-26T00:00:00"/>
    <d v="2024-09-27T00:00:00"/>
    <x v="2"/>
    <n v="15"/>
    <s v=" شركه شحن"/>
    <x v="0"/>
  </r>
  <r>
    <x v="21"/>
    <s v="عبير نور الدين"/>
    <x v="0"/>
    <x v="0"/>
    <s v="١٨ شارع البحيري بولاق الدكرور الجيزه "/>
    <x v="2"/>
    <x v="0"/>
    <s v="ثلاثه ادوار"/>
    <s v="كيفنج"/>
    <n v="100"/>
    <x v="1"/>
    <m/>
    <s v="سرير٣ ادورااسودمقاس ١٠٠ "/>
    <n v="9450"/>
    <n v="1"/>
    <n v="0"/>
    <s v="الدفع عند الاستلام"/>
    <x v="14"/>
    <d v="2024-09-26T00:00:00"/>
    <m/>
    <x v="1"/>
    <m/>
    <s v="محمود على"/>
    <x v="1"/>
  </r>
  <r>
    <x v="22"/>
    <s v="اسراء ابو العنين"/>
    <x v="0"/>
    <x v="4"/>
    <s v="القاهره الجديده"/>
    <x v="0"/>
    <x v="0"/>
    <s v="فردى"/>
    <s v="اسبانى"/>
    <n v="120"/>
    <x v="1"/>
    <m/>
    <s v="سريراسبانىاسودمقاس ١٢٠"/>
    <n v="7460"/>
    <n v="1"/>
    <n v="7460"/>
    <s v="مسبق الدفع"/>
    <x v="16"/>
    <d v="2024-09-26T00:00:00"/>
    <d v="2024-10-03T00:00:00"/>
    <x v="2"/>
    <n v="20"/>
    <s v="محمود على"/>
    <x v="0"/>
  </r>
  <r>
    <x v="23"/>
    <s v="وائل صادق"/>
    <x v="0"/>
    <x v="4"/>
    <s v="القاهره الجديده"/>
    <x v="0"/>
    <x v="0"/>
    <s v="فردى"/>
    <s v="كورين"/>
    <n v="140"/>
    <x v="5"/>
    <s v="رمادى"/>
    <s v="سريركوين مقاس ١٤٠ دهبي ورمادى "/>
    <n v="9528"/>
    <n v="1"/>
    <n v="9528"/>
    <s v="مسبق الدفع"/>
    <x v="16"/>
    <d v="2024-09-26T00:00:00"/>
    <d v="2024-10-03T00:00:00"/>
    <x v="2"/>
    <n v="20"/>
    <s v="محمود على"/>
    <x v="0"/>
  </r>
  <r>
    <x v="24"/>
    <s v="حسن مغرب"/>
    <x v="0"/>
    <x v="0"/>
    <s v="٦ اكتوبر الجيزه "/>
    <x v="0"/>
    <x v="0"/>
    <s v="دورين"/>
    <s v="كيفنج"/>
    <n v="120"/>
    <x v="4"/>
    <m/>
    <s v="سريركيفنج ١٢٠ رمادى "/>
    <n v="12999"/>
    <n v="1"/>
    <n v="12999"/>
    <s v="مسبق الدفع"/>
    <x v="15"/>
    <d v="2024-09-27T00:00:00"/>
    <d v="2024-10-02T00:00:00"/>
    <x v="2"/>
    <n v="18"/>
    <s v="محمود على"/>
    <x v="0"/>
  </r>
  <r>
    <x v="25"/>
    <s v="على السيد"/>
    <x v="0"/>
    <x v="4"/>
    <s v="الشروق القاهره "/>
    <x v="0"/>
    <x v="0"/>
    <s v="دورين"/>
    <s v="نوفال"/>
    <n v="90"/>
    <x v="1"/>
    <m/>
    <s v="سريرنوفال  ٩٠اسود"/>
    <n v="5999"/>
    <n v="1"/>
    <n v="5999"/>
    <s v="مسبق الدفع"/>
    <x v="14"/>
    <d v="2024-09-29T00:00:00"/>
    <m/>
    <x v="1"/>
    <m/>
    <s v="محمود على"/>
    <x v="1"/>
  </r>
  <r>
    <x v="26"/>
    <s v="هشام بسيونى"/>
    <x v="0"/>
    <x v="4"/>
    <s v="حدايق الاهرام "/>
    <x v="0"/>
    <x v="0"/>
    <s v="دورين"/>
    <s v="كيفنج"/>
    <n v="100"/>
    <x v="1"/>
    <m/>
    <s v="            ٢ سريركيفنج ١٠٠اسود"/>
    <n v="10749"/>
    <n v="2"/>
    <n v="0"/>
    <s v="الدفع عند الاستلام"/>
    <x v="14"/>
    <d v="2024-09-29T00:00:00"/>
    <d v="2024-10-02T00:00:00"/>
    <x v="2"/>
    <n v="20"/>
    <s v="محمود على"/>
    <x v="0"/>
  </r>
  <r>
    <x v="6"/>
    <s v="احمد"/>
    <x v="0"/>
    <x v="4"/>
    <s v="الشروق"/>
    <x v="0"/>
    <x v="0"/>
    <s v="ثلاثه ادوار"/>
    <s v="كيفنج"/>
    <n v="80"/>
    <x v="0"/>
    <m/>
    <s v="سرير٣ ادوار ابيضمقاس ٨٠ ابيض"/>
    <n v="16599"/>
    <n v="1"/>
    <n v="16599"/>
    <s v="مسبق الدفع"/>
    <x v="16"/>
    <d v="2024-09-30T00:00:00"/>
    <d v="2024-10-03T00:00:00"/>
    <x v="2"/>
    <n v="20"/>
    <s v="محمود على"/>
    <x v="0"/>
  </r>
  <r>
    <x v="27"/>
    <s v="ساره وجيه"/>
    <x v="0"/>
    <x v="3"/>
    <s v="الغردقه"/>
    <x v="0"/>
    <x v="0"/>
    <s v="دورين"/>
    <s v="كيفنج"/>
    <n v="80"/>
    <x v="0"/>
    <m/>
    <s v="سريركيفنج دورين مقاس ٨٠ ابيض"/>
    <n v="10999"/>
    <n v="1"/>
    <n v="10999"/>
    <s v="مسبق الدفع"/>
    <x v="16"/>
    <d v="2024-09-30T00:00:00"/>
    <d v="2024-10-16T00:00:00"/>
    <x v="2"/>
    <n v="33"/>
    <s v=" شركه شحن"/>
    <x v="0"/>
  </r>
  <r>
    <x v="28"/>
    <s v="مها"/>
    <x v="0"/>
    <x v="6"/>
    <s v="لافيستا العين السخنه "/>
    <x v="0"/>
    <x v="0"/>
    <s v="دورين"/>
    <s v="كيفنج"/>
    <n v="140"/>
    <x v="2"/>
    <m/>
    <s v="سريراستيل ازرق مقاس ١٤٠"/>
    <n v="13099"/>
    <n v="1"/>
    <n v="13099"/>
    <s v="مسبق الدفع"/>
    <x v="16"/>
    <d v="2024-09-30T00:00:00"/>
    <d v="2024-10-03T00:00:00"/>
    <x v="2"/>
    <n v="20"/>
    <s v=" شركه شحن"/>
    <x v="0"/>
  </r>
  <r>
    <x v="29"/>
    <s v="بسام الشربينى"/>
    <x v="0"/>
    <x v="0"/>
    <s v="٦ اكتوبر الجيزه "/>
    <x v="0"/>
    <x v="0"/>
    <s v="دورين"/>
    <s v="كينج"/>
    <n v="120"/>
    <x v="6"/>
    <m/>
    <s v="سريركينج ١٢٠ بنفسجى "/>
    <n v="13849"/>
    <n v="1"/>
    <n v="13849"/>
    <s v="مسبق الدفع"/>
    <x v="16"/>
    <d v="2024-09-30T00:00:00"/>
    <d v="2024-10-20T00:00:00"/>
    <x v="2"/>
    <n v="37"/>
    <s v="محمود على"/>
    <x v="0"/>
  </r>
  <r>
    <x v="30"/>
    <s v="هبه عبد الفتاح"/>
    <x v="0"/>
    <x v="4"/>
    <s v="القاهره الجديده "/>
    <x v="0"/>
    <x v="2"/>
    <s v="4*1"/>
    <m/>
    <m/>
    <x v="1"/>
    <s v="رمادى"/>
    <s v="كنبه سرير٤ حركه "/>
    <n v="21999"/>
    <n v="4"/>
    <n v="21999"/>
    <s v="مسبق الدفع"/>
    <x v="16"/>
    <d v="2024-09-30T00:00:00"/>
    <d v="2024-09-28T00:00:00"/>
    <x v="0"/>
    <n v="15"/>
    <s v="محمود على"/>
    <x v="0"/>
  </r>
  <r>
    <x v="31"/>
    <s v="اسراء ابراهيم"/>
    <x v="0"/>
    <x v="0"/>
    <s v="٦ اكتوبر الجيزه "/>
    <x v="0"/>
    <x v="0"/>
    <s v="دورين"/>
    <s v="كيفنج"/>
    <n v="80"/>
    <x v="0"/>
    <m/>
    <s v="سريركيفنج دورين مقاس ٨٠ ابيض"/>
    <n v="10999"/>
    <n v="1"/>
    <n v="10999"/>
    <s v="مسبق الدفع"/>
    <x v="16"/>
    <d v="2024-09-30T00:00:00"/>
    <d v="2024-10-15T00:00:00"/>
    <x v="2"/>
    <n v="32"/>
    <s v="محمود على"/>
    <x v="0"/>
  </r>
  <r>
    <x v="32"/>
    <s v="طارق كمال"/>
    <x v="0"/>
    <x v="4"/>
    <s v="المعادى"/>
    <x v="0"/>
    <x v="0"/>
    <s v="ثلاثه ادوار"/>
    <s v="كيفنج"/>
    <n v="90"/>
    <x v="1"/>
    <m/>
    <s v="سرير٣ ادواراسودمقاس ٩٠ "/>
    <n v="17249"/>
    <n v="1"/>
    <n v="17249"/>
    <s v="مسبق الدفع"/>
    <x v="16"/>
    <d v="2024-09-30T00:00:00"/>
    <d v="2024-10-04T00:00:00"/>
    <x v="2"/>
    <n v="21"/>
    <s v="محمود على"/>
    <x v="0"/>
  </r>
  <r>
    <x v="33"/>
    <s v="ديفد بهجت"/>
    <x v="0"/>
    <x v="0"/>
    <s v="فيصل الجيزه"/>
    <x v="0"/>
    <x v="1"/>
    <s v="2 ميكانزم"/>
    <m/>
    <m/>
    <x v="3"/>
    <m/>
    <s v="ترابيزه قهوه ٢ رافع"/>
    <n v="8349"/>
    <n v="1"/>
    <n v="8349"/>
    <s v="مسبق الدفع"/>
    <x v="15"/>
    <d v="2024-10-16T00:00:00"/>
    <d v="2024-10-21T00:00:00"/>
    <x v="2"/>
    <n v="37"/>
    <s v="محمود على"/>
    <x v="0"/>
  </r>
  <r>
    <x v="34"/>
    <s v="اياد"/>
    <x v="0"/>
    <x v="4"/>
    <s v="المقطم "/>
    <x v="0"/>
    <x v="1"/>
    <s v="بمكتبة"/>
    <m/>
    <m/>
    <x v="3"/>
    <m/>
    <s v="ترابيزه قهوه متحركه "/>
    <n v="7849"/>
    <n v="1"/>
    <n v="7849"/>
    <s v="مسبق الدفع"/>
    <x v="15"/>
    <d v="2024-10-29T00:00:00"/>
    <d v="2024-10-30T00:00:00"/>
    <x v="2"/>
    <n v="46"/>
    <s v="محمود على"/>
    <x v="0"/>
  </r>
  <r>
    <x v="35"/>
    <s v="ميار خورشد"/>
    <x v="0"/>
    <x v="0"/>
    <s v="٦ اكتوبر الجيزه "/>
    <x v="0"/>
    <x v="0"/>
    <s v="منطبق"/>
    <m/>
    <m/>
    <x v="1"/>
    <s v="اسود"/>
    <s v="سريرمنطبقاسودحديد ومعدن "/>
    <n v="9399"/>
    <n v="1"/>
    <n v="9399"/>
    <s v="مسبق الدفع "/>
    <x v="15"/>
    <d v="2024-10-09T00:00:00"/>
    <d v="2024-10-15T00:00:00"/>
    <x v="2"/>
    <n v="31"/>
    <s v="محمود على"/>
    <x v="0"/>
  </r>
  <r>
    <x v="36"/>
    <s v="عبد الله سيد"/>
    <x v="0"/>
    <x v="0"/>
    <s v="الشيخ زايد ٦ اكتوبر "/>
    <x v="0"/>
    <x v="0"/>
    <s v="فردى"/>
    <s v="اسبانى"/>
    <n v="140"/>
    <x v="1"/>
    <s v="بيج"/>
    <s v="سريراسبانى  ١٤٠اسودوبيج "/>
    <n v="11817"/>
    <n v="1"/>
    <n v="11817"/>
    <s v="مسبق الدفع "/>
    <x v="15"/>
    <d v="2024-10-09T00:00:00"/>
    <d v="2024-10-15T00:00:00"/>
    <x v="2"/>
    <n v="31"/>
    <s v="محمود على"/>
    <x v="0"/>
  </r>
  <r>
    <x v="37"/>
    <s v="كينج سونا"/>
    <x v="0"/>
    <x v="4"/>
    <s v="الشروق"/>
    <x v="0"/>
    <x v="1"/>
    <s v="رف سحاب"/>
    <m/>
    <m/>
    <x v="3"/>
    <m/>
    <s v="ترابيزه قهوه مرتفعه برف سحاب "/>
    <n v="8349"/>
    <n v="1"/>
    <n v="8349"/>
    <s v="مسبق الدفع "/>
    <x v="15"/>
    <d v="2024-10-09T00:00:00"/>
    <d v="2024-10-19T00:00:00"/>
    <x v="2"/>
    <n v="35"/>
    <s v="محمود على"/>
    <x v="0"/>
  </r>
  <r>
    <x v="38"/>
    <s v="احمد خالد"/>
    <x v="0"/>
    <x v="4"/>
    <s v="الرحاب"/>
    <x v="0"/>
    <x v="0"/>
    <s v="فردى"/>
    <s v="فورجينا"/>
    <n v="120"/>
    <x v="0"/>
    <m/>
    <s v=" ٢. سريرفورجينا ابيضمقاس ١٢٠"/>
    <n v="17886"/>
    <n v="1"/>
    <n v="17886"/>
    <s v="مسبق الدفع "/>
    <x v="15"/>
    <d v="2024-10-09T00:00:00"/>
    <m/>
    <x v="1"/>
    <m/>
    <s v="محمود على"/>
    <x v="1"/>
  </r>
  <r>
    <x v="39"/>
    <s v="ساره"/>
    <x v="0"/>
    <x v="4"/>
    <s v="القاهره الجديده"/>
    <x v="0"/>
    <x v="0"/>
    <s v="فردى"/>
    <s v="اسبانى"/>
    <n v="120"/>
    <x v="0"/>
    <m/>
    <s v="   ٢. سريراسبانى ابيض١٢٠"/>
    <n v="10987"/>
    <n v="1"/>
    <n v="10987"/>
    <s v="مسبق الدفع"/>
    <x v="15"/>
    <d v="2024-10-09T00:00:00"/>
    <d v="2024-10-13T00:00:00"/>
    <x v="2"/>
    <n v="29"/>
    <s v="محمود على"/>
    <x v="0"/>
  </r>
  <r>
    <x v="40"/>
    <s v="احمد ايمن"/>
    <x v="0"/>
    <x v="4"/>
    <s v="العبور"/>
    <x v="0"/>
    <x v="1"/>
    <s v="2 ميكانزم"/>
    <m/>
    <m/>
    <x v="3"/>
    <m/>
    <s v="ترابيزه قهوه علويه جديده "/>
    <n v="10319"/>
    <n v="1"/>
    <n v="10319"/>
    <s v="مسبق الدفع"/>
    <x v="15"/>
    <d v="2024-10-09T00:00:00"/>
    <d v="2024-10-19T00:00:00"/>
    <x v="2"/>
    <n v="35"/>
    <s v="محمود على"/>
    <x v="0"/>
  </r>
  <r>
    <x v="41"/>
    <s v="مصطفي غنيم"/>
    <x v="0"/>
    <x v="7"/>
    <s v="اسيوط"/>
    <x v="0"/>
    <x v="0"/>
    <s v="دورين"/>
    <s v="كيفنج"/>
    <n v="120"/>
    <x v="4"/>
    <m/>
    <s v="سريركيفنج دورين مقاس ١٢٠ رمادى "/>
    <n v="12999"/>
    <n v="1"/>
    <n v="12999"/>
    <s v="مسبق الدفع "/>
    <x v="15"/>
    <d v="2024-09-29T00:00:00"/>
    <d v="2024-10-17T00:00:00"/>
    <x v="2"/>
    <n v="33"/>
    <s v=" شركه شحن"/>
    <x v="0"/>
  </r>
  <r>
    <x v="42"/>
    <s v="حسام عبدون"/>
    <x v="0"/>
    <x v="3"/>
    <s v="الغردقه"/>
    <x v="0"/>
    <x v="2"/>
    <s v="4*1"/>
    <m/>
    <m/>
    <x v="1"/>
    <s v="رمادى"/>
    <s v="كنبه سرير٤ حركه "/>
    <n v="21999"/>
    <n v="4"/>
    <n v="21999"/>
    <s v="مسبق الدفع"/>
    <x v="15"/>
    <d v="2024-09-29T00:00:00"/>
    <m/>
    <x v="1"/>
    <m/>
    <s v="محمود على"/>
    <x v="1"/>
  </r>
  <r>
    <x v="43"/>
    <s v="رامى"/>
    <x v="0"/>
    <x v="4"/>
    <s v="الشروق"/>
    <x v="0"/>
    <x v="0"/>
    <s v="دورين"/>
    <s v="نوفال"/>
    <n v="100"/>
    <x v="4"/>
    <m/>
    <s v="سريرنوفال ١٠٠ رمادى "/>
    <n v="12399"/>
    <n v="1"/>
    <n v="12399"/>
    <s v="مسبق الدفع"/>
    <x v="15"/>
    <d v="2024-09-29T00:00:00"/>
    <d v="2024-10-01T00:00:00"/>
    <x v="2"/>
    <n v="17"/>
    <s v=" شركه شحن"/>
    <x v="0"/>
  </r>
  <r>
    <x v="44"/>
    <s v="رحاب"/>
    <x v="0"/>
    <x v="4"/>
    <s v="القاهره الجديده"/>
    <x v="0"/>
    <x v="2"/>
    <s v="4*1"/>
    <m/>
    <m/>
    <x v="1"/>
    <s v="رمادى"/>
    <s v="كنبه سرير٤ حركه "/>
    <n v="21999"/>
    <n v="4"/>
    <n v="21999"/>
    <s v="مسبق الدفع"/>
    <x v="15"/>
    <d v="2024-10-04T00:00:00"/>
    <d v="2024-10-09T00:00:00"/>
    <x v="2"/>
    <n v="25"/>
    <s v="محمود على"/>
    <x v="0"/>
  </r>
  <r>
    <x v="45"/>
    <s v="فؤاد المنسي"/>
    <x v="0"/>
    <x v="4"/>
    <s v="المقطم "/>
    <x v="0"/>
    <x v="0"/>
    <s v="دورين"/>
    <s v="نوفال"/>
    <n v="80"/>
    <x v="0"/>
    <m/>
    <s v="سريرنوفال مقاس ٨٠ ابيض"/>
    <n v="10999"/>
    <n v="1"/>
    <n v="10999"/>
    <s v="مسبق الدفع "/>
    <x v="15"/>
    <d v="2024-10-04T00:00:00"/>
    <d v="2024-10-16T00:00:00"/>
    <x v="2"/>
    <n v="32"/>
    <s v="محمود على"/>
    <x v="0"/>
  </r>
  <r>
    <x v="46"/>
    <s v="mohannad"/>
    <x v="0"/>
    <x v="4"/>
    <s v="EL-Maadi"/>
    <x v="0"/>
    <x v="0"/>
    <s v="دورين"/>
    <s v="كيفنج"/>
    <n v="80"/>
    <x v="0"/>
    <m/>
    <m/>
    <n v="10999"/>
    <n v="1"/>
    <n v="10999"/>
    <s v="مسبق الدفع "/>
    <x v="17"/>
    <d v="2024-10-05T00:00:00"/>
    <d v="2024-10-16T00:00:00"/>
    <x v="2"/>
    <n v="31"/>
    <s v="محمود على"/>
    <x v="0"/>
  </r>
  <r>
    <x v="47"/>
    <s v="Mohamed Ayman"/>
    <x v="0"/>
    <x v="4"/>
    <s v="Madinet Badr"/>
    <x v="0"/>
    <x v="2"/>
    <s v="4*1"/>
    <m/>
    <m/>
    <x v="1"/>
    <s v="رمادى"/>
    <m/>
    <n v="21999"/>
    <n v="4"/>
    <n v="21999"/>
    <s v="مسبق الدفع "/>
    <x v="17"/>
    <d v="2024-10-05T00:00:00"/>
    <d v="2024-10-19T00:00:00"/>
    <x v="2"/>
    <n v="34"/>
    <s v="محمود على"/>
    <x v="0"/>
  </r>
  <r>
    <x v="48"/>
    <s v="اسامه"/>
    <x v="0"/>
    <x v="6"/>
    <s v="العين السخنه"/>
    <x v="0"/>
    <x v="1"/>
    <s v="2 ميكانزم"/>
    <m/>
    <m/>
    <x v="3"/>
    <m/>
    <m/>
    <n v="6306"/>
    <n v="1"/>
    <n v="0"/>
    <s v="الدفع عند الاستلام"/>
    <x v="18"/>
    <d v="2024-10-06T00:00:00"/>
    <d v="2024-11-14T00:00:00"/>
    <x v="2"/>
    <n v="59"/>
    <s v=" شركه شحن"/>
    <x v="0"/>
  </r>
  <r>
    <x v="16"/>
    <s v="اوسكار راتن"/>
    <x v="1"/>
    <x v="8"/>
    <s v="المخزن ابو الغيط "/>
    <x v="4"/>
    <x v="0"/>
    <s v="دورين"/>
    <s v="كيفنج"/>
    <n v="80"/>
    <x v="0"/>
    <m/>
    <m/>
    <n v="5074"/>
    <n v="1"/>
    <n v="0"/>
    <s v="حساب شركه"/>
    <x v="19"/>
    <d v="2024-10-05T00:00:00"/>
    <d v="2024-10-12T00:00:00"/>
    <x v="2"/>
    <n v="21"/>
    <s v="محمود على"/>
    <x v="0"/>
  </r>
  <r>
    <x v="8"/>
    <s v="تاكى"/>
    <x v="1"/>
    <x v="4"/>
    <s v="العباسيه"/>
    <x v="3"/>
    <x v="0"/>
    <s v="دورين"/>
    <s v="كينج"/>
    <n v="100"/>
    <x v="1"/>
    <s v="بني"/>
    <m/>
    <n v="6250"/>
    <n v="1"/>
    <n v="0"/>
    <s v="حساب شركه"/>
    <x v="20"/>
    <d v="2024-10-08T00:00:00"/>
    <d v="2024-10-17T00:00:00"/>
    <x v="2"/>
    <n v="24"/>
    <s v="محمود على"/>
    <x v="0"/>
  </r>
  <r>
    <x v="49"/>
    <s v="ولاء بدوى"/>
    <x v="0"/>
    <x v="4"/>
    <s v="العباسيه"/>
    <x v="0"/>
    <x v="0"/>
    <s v="فردى"/>
    <s v="فورجينا"/>
    <n v="120"/>
    <x v="0"/>
    <m/>
    <m/>
    <n v="9033"/>
    <n v="1"/>
    <n v="0"/>
    <s v="الدفع عند الاستلام"/>
    <x v="21"/>
    <d v="2024-10-11T00:00:00"/>
    <d v="2024-10-10T00:00:00"/>
    <x v="0"/>
    <n v="14"/>
    <s v="محمود على"/>
    <x v="0"/>
  </r>
  <r>
    <x v="50"/>
    <s v="عبد الرحمن يسري"/>
    <x v="0"/>
    <x v="0"/>
    <s v="اكتوبر الجيزه"/>
    <x v="0"/>
    <x v="1"/>
    <s v="رف سحاب"/>
    <m/>
    <m/>
    <x v="3"/>
    <m/>
    <m/>
    <n v="8433"/>
    <n v="1"/>
    <n v="0"/>
    <s v="الدفع عند الاستلام"/>
    <x v="21"/>
    <d v="2024-10-16T00:00:00"/>
    <m/>
    <x v="1"/>
    <m/>
    <s v="محمود على"/>
    <x v="1"/>
  </r>
  <r>
    <x v="5"/>
    <s v="شيك هومز"/>
    <x v="1"/>
    <x v="4"/>
    <s v="التجمع"/>
    <x v="1"/>
    <x v="2"/>
    <s v="4*1"/>
    <m/>
    <m/>
    <x v="3"/>
    <s v="نبيتى "/>
    <m/>
    <n v="14950"/>
    <n v="4"/>
    <n v="14950"/>
    <s v="مسبق الدفع"/>
    <x v="21"/>
    <d v="2024-10-14T00:00:00"/>
    <d v="2024-10-13T00:00:00"/>
    <x v="0"/>
    <n v="17"/>
    <s v="محمود على"/>
    <x v="0"/>
  </r>
  <r>
    <x v="5"/>
    <s v="شيك هومز"/>
    <x v="1"/>
    <x v="4"/>
    <m/>
    <x v="1"/>
    <x v="0"/>
    <s v="دورين"/>
    <s v="كينج"/>
    <n v="100"/>
    <x v="1"/>
    <m/>
    <m/>
    <n v="9608"/>
    <n v="1"/>
    <n v="0"/>
    <s v="الدفع عند الاستلام"/>
    <x v="21"/>
    <d v="2024-10-14T00:00:00"/>
    <m/>
    <x v="1"/>
    <m/>
    <s v="محمود على"/>
    <x v="1"/>
  </r>
  <r>
    <x v="5"/>
    <s v="شيك هومز"/>
    <x v="1"/>
    <x v="4"/>
    <m/>
    <x v="1"/>
    <x v="0"/>
    <s v="فردى"/>
    <s v="اسبانى"/>
    <n v="120"/>
    <x v="0"/>
    <m/>
    <m/>
    <n v="7433"/>
    <n v="1"/>
    <n v="7433"/>
    <s v="مسبق الدفع"/>
    <x v="22"/>
    <d v="2024-10-20T00:00:00"/>
    <d v="2024-10-21T00:00:00"/>
    <x v="2"/>
    <n v="22"/>
    <s v="محمود على"/>
    <x v="0"/>
  </r>
  <r>
    <x v="16"/>
    <s v="اوسكار راتن"/>
    <x v="1"/>
    <x v="8"/>
    <s v="المخزن ابو الغيط "/>
    <x v="4"/>
    <x v="0"/>
    <s v="فردى"/>
    <s v="فورجينا"/>
    <n v="120"/>
    <x v="0"/>
    <m/>
    <m/>
    <n v="4020"/>
    <n v="1"/>
    <n v="0"/>
    <s v="حساب شركه"/>
    <x v="22"/>
    <d v="2024-10-12T00:00:00"/>
    <d v="2024-10-12T00:00:00"/>
    <x v="0"/>
    <n v="13"/>
    <s v="محمود على"/>
    <x v="0"/>
  </r>
  <r>
    <x v="51"/>
    <s v="الحج محمد السويس"/>
    <x v="0"/>
    <x v="9"/>
    <s v="السويس "/>
    <x v="5"/>
    <x v="0"/>
    <s v="دورين"/>
    <s v="فانتاستك"/>
    <n v="100"/>
    <x v="7"/>
    <m/>
    <m/>
    <n v="8544.9054400000005"/>
    <n v="1"/>
    <n v="0"/>
    <s v="الدفع عند الاستلام"/>
    <x v="23"/>
    <d v="2024-10-09T00:00:00"/>
    <d v="2024-10-09T00:00:00"/>
    <x v="0"/>
    <n v="8"/>
    <s v="محمود على "/>
    <x v="0"/>
  </r>
  <r>
    <x v="51"/>
    <s v="الحج محمد السويس"/>
    <x v="0"/>
    <x v="9"/>
    <s v="السويس "/>
    <x v="5"/>
    <x v="0"/>
    <s v="منطبق"/>
    <m/>
    <m/>
    <x v="1"/>
    <s v="بيج"/>
    <m/>
    <n v="4600"/>
    <n v="1"/>
    <n v="0"/>
    <s v="الدفع عند الاستلام"/>
    <x v="23"/>
    <d v="2024-10-09T00:00:00"/>
    <d v="2024-10-09T00:00:00"/>
    <x v="0"/>
    <n v="8"/>
    <s v="محمود على "/>
    <x v="0"/>
  </r>
  <r>
    <x v="51"/>
    <s v="الحج محمد السويس"/>
    <x v="0"/>
    <x v="9"/>
    <s v="السويس "/>
    <x v="5"/>
    <x v="2"/>
    <s v="فنيسيا"/>
    <m/>
    <m/>
    <x v="1"/>
    <s v="رصاصي"/>
    <m/>
    <n v="10000"/>
    <n v="1"/>
    <n v="0"/>
    <s v="الدفع عند الاستلام"/>
    <x v="23"/>
    <d v="2024-10-09T00:00:00"/>
    <d v="2024-10-09T00:00:00"/>
    <x v="0"/>
    <n v="8"/>
    <s v="محمود على "/>
    <x v="0"/>
  </r>
  <r>
    <x v="51"/>
    <s v="الحج محمد السويس"/>
    <x v="0"/>
    <x v="9"/>
    <s v="السويس "/>
    <x v="5"/>
    <x v="5"/>
    <m/>
    <m/>
    <m/>
    <x v="1"/>
    <s v="نبيتى "/>
    <m/>
    <m/>
    <n v="1"/>
    <m/>
    <m/>
    <x v="23"/>
    <d v="2024-10-09T00:00:00"/>
    <d v="2024-10-09T00:00:00"/>
    <x v="0"/>
    <n v="8"/>
    <s v="محمود على "/>
    <x v="0"/>
  </r>
  <r>
    <x v="52"/>
    <s v="عمرو الأسود"/>
    <x v="0"/>
    <x v="4"/>
    <s v="الزمالك"/>
    <x v="0"/>
    <x v="0"/>
    <s v="منطبق"/>
    <m/>
    <m/>
    <x v="1"/>
    <s v="اسود"/>
    <m/>
    <n v="8988"/>
    <m/>
    <m/>
    <s v="الدفع عند الاستلام"/>
    <x v="24"/>
    <d v="2024-10-13T00:00:00"/>
    <m/>
    <x v="1"/>
    <m/>
    <s v="محمود على"/>
    <x v="1"/>
  </r>
  <r>
    <x v="5"/>
    <s v="شيك هومز"/>
    <x v="1"/>
    <x v="4"/>
    <s v="مخزن شيك هومز"/>
    <x v="1"/>
    <x v="2"/>
    <s v="4*1"/>
    <m/>
    <m/>
    <x v="1"/>
    <s v="بترولى "/>
    <m/>
    <n v="14550"/>
    <n v="4"/>
    <n v="14550"/>
    <s v="مسبق الدفع"/>
    <x v="25"/>
    <d v="2024-10-29T00:00:00"/>
    <d v="2024-10-30T00:00:00"/>
    <x v="2"/>
    <n v="22"/>
    <s v="محمود على"/>
    <x v="0"/>
  </r>
  <r>
    <x v="5"/>
    <s v="شيك هومز"/>
    <x v="1"/>
    <x v="0"/>
    <s v="أكتوبر "/>
    <x v="1"/>
    <x v="2"/>
    <s v="4*1"/>
    <m/>
    <m/>
    <x v="1"/>
    <s v="بترولى "/>
    <m/>
    <n v="14550"/>
    <n v="4"/>
    <n v="14550"/>
    <s v="مسبق الدفع"/>
    <x v="26"/>
    <d v="2024-10-29T00:00:00"/>
    <d v="2024-10-15T00:00:00"/>
    <x v="0"/>
    <n v="8"/>
    <s v="محمود على"/>
    <x v="0"/>
  </r>
  <r>
    <x v="5"/>
    <s v="شيك هومز"/>
    <x v="1"/>
    <x v="4"/>
    <m/>
    <x v="1"/>
    <x v="2"/>
    <s v="4*1"/>
    <m/>
    <m/>
    <x v="1"/>
    <s v="نبيتى "/>
    <m/>
    <n v="11495"/>
    <n v="4"/>
    <n v="0"/>
    <s v="الدفع عند الاستلام"/>
    <x v="27"/>
    <d v="2024-10-31T00:00:00"/>
    <d v="2024-11-02T00:00:00"/>
    <x v="2"/>
    <n v="23"/>
    <s v="محمود على"/>
    <x v="0"/>
  </r>
  <r>
    <x v="53"/>
    <s v="keira"/>
    <x v="0"/>
    <x v="4"/>
    <s v="القاهره الجديده "/>
    <x v="0"/>
    <x v="0"/>
    <s v="دورين"/>
    <s v="نوفال "/>
    <n v="140"/>
    <x v="8"/>
    <m/>
    <m/>
    <n v="13028"/>
    <n v="1"/>
    <n v="0"/>
    <s v="الدفع عند الاستلام"/>
    <x v="28"/>
    <d v="2024-10-28T00:00:00"/>
    <d v="2024-11-02T00:00:00"/>
    <x v="2"/>
    <n v="20"/>
    <s v="محمود على"/>
    <x v="0"/>
  </r>
  <r>
    <x v="54"/>
    <s v="tarek"/>
    <x v="0"/>
    <x v="4"/>
    <s v="مصر الجديده"/>
    <x v="0"/>
    <x v="0"/>
    <s v="دورين"/>
    <s v="كيفنج"/>
    <n v="140"/>
    <x v="0"/>
    <m/>
    <m/>
    <n v="10499"/>
    <n v="1"/>
    <n v="10499"/>
    <s v="مسبق الدفع"/>
    <x v="29"/>
    <d v="2024-10-31T00:00:00"/>
    <d v="2024-10-21T00:00:00"/>
    <x v="0"/>
    <n v="5"/>
    <s v="محمود على"/>
    <x v="0"/>
  </r>
  <r>
    <x v="55"/>
    <s v="reem"/>
    <x v="0"/>
    <x v="1"/>
    <s v="البطاش اسكندريه"/>
    <x v="0"/>
    <x v="0"/>
    <s v="دورين"/>
    <s v="نوفال"/>
    <n v="140"/>
    <x v="8"/>
    <m/>
    <m/>
    <n v="12899"/>
    <n v="1"/>
    <n v="12899"/>
    <s v="مسبق الدفع"/>
    <x v="30"/>
    <d v="2024-11-01T00:00:00"/>
    <d v="2024-12-03T00:00:00"/>
    <x v="2"/>
    <n v="47"/>
    <s v=" شركه شحن"/>
    <x v="0"/>
  </r>
  <r>
    <x v="56"/>
    <s v="هشام سامى"/>
    <x v="0"/>
    <x v="10"/>
    <s v="41 كومبوند جولدن جستس الدور 4 شقه 4"/>
    <x v="6"/>
    <x v="0"/>
    <s v="فردى"/>
    <s v="بلحه"/>
    <n v="140"/>
    <x v="9"/>
    <s v="بني"/>
    <m/>
    <n v="5135"/>
    <n v="1"/>
    <n v="5135"/>
    <s v="مسبق الدفع"/>
    <x v="31"/>
    <d v="2024-11-17T00:00:00"/>
    <d v="2024-11-14T00:00:00"/>
    <x v="0"/>
    <n v="25"/>
    <s v="محمود على"/>
    <x v="0"/>
  </r>
  <r>
    <x v="5"/>
    <s v="شيك هومز"/>
    <x v="1"/>
    <x v="0"/>
    <s v="اكتوبر الجيزه"/>
    <x v="1"/>
    <x v="0"/>
    <s v="دورين"/>
    <s v="فانتستيك"/>
    <n v="100"/>
    <x v="7"/>
    <m/>
    <m/>
    <n v="11277.5"/>
    <n v="1"/>
    <n v="0"/>
    <s v="الدفع عند الاستلام"/>
    <x v="32"/>
    <d v="2024-11-12T00:00:00"/>
    <d v="2024-11-18T00:00:00"/>
    <x v="2"/>
    <n v="27"/>
    <s v="محمود على"/>
    <x v="0"/>
  </r>
  <r>
    <x v="16"/>
    <s v="اوسكار راتن"/>
    <x v="1"/>
    <x v="4"/>
    <s v="المعرض مدينه نصر"/>
    <x v="4"/>
    <x v="0"/>
    <s v="دورين"/>
    <s v="فانتستيك"/>
    <n v="100"/>
    <x v="7"/>
    <m/>
    <m/>
    <n v="8544.91"/>
    <n v="1"/>
    <n v="0"/>
    <s v="حساب شركه"/>
    <x v="32"/>
    <d v="2024-11-06T00:00:00"/>
    <m/>
    <x v="1"/>
    <m/>
    <s v="محمود على"/>
    <x v="1"/>
  </r>
  <r>
    <x v="57"/>
    <s v="فاطمه محمد"/>
    <x v="0"/>
    <x v="0"/>
    <s v="أكتوبر الجيزه"/>
    <x v="0"/>
    <x v="0"/>
    <s v="فردى"/>
    <s v="فورجينا"/>
    <n v="120"/>
    <x v="0"/>
    <m/>
    <m/>
    <n v="8943"/>
    <n v="1"/>
    <n v="0"/>
    <s v="الدفع عند الاستلام"/>
    <x v="33"/>
    <d v="2024-11-14T00:00:00"/>
    <d v="2024-11-18T00:00:00"/>
    <x v="2"/>
    <n v="28"/>
    <s v="محمود على"/>
    <x v="0"/>
  </r>
  <r>
    <x v="5"/>
    <s v="شيك هومز"/>
    <x v="1"/>
    <x v="4"/>
    <m/>
    <x v="1"/>
    <x v="2"/>
    <s v="4*1"/>
    <m/>
    <m/>
    <x v="1"/>
    <m/>
    <m/>
    <n v="15516"/>
    <n v="4"/>
    <n v="15516"/>
    <s v="مسبق الدفع"/>
    <x v="34"/>
    <d v="2024-11-14T00:00:00"/>
    <d v="2024-10-30T00:00:00"/>
    <x v="0"/>
    <n v="6"/>
    <s v="محمود على"/>
    <x v="0"/>
  </r>
  <r>
    <x v="5"/>
    <s v="شيك هومز"/>
    <x v="1"/>
    <x v="4"/>
    <m/>
    <x v="1"/>
    <x v="0"/>
    <s v="دورين"/>
    <s v="كينج"/>
    <n v="100"/>
    <x v="1"/>
    <m/>
    <m/>
    <n v="8879"/>
    <n v="1"/>
    <n v="0"/>
    <s v="الدفع عند الاستلام"/>
    <x v="35"/>
    <d v="2024-11-16T00:00:00"/>
    <m/>
    <x v="1"/>
    <m/>
    <s v="محمود على"/>
    <x v="1"/>
  </r>
  <r>
    <x v="39"/>
    <s v="ساره"/>
    <x v="0"/>
    <x v="0"/>
    <s v="الشيخ زايد اكتوبر"/>
    <x v="0"/>
    <x v="0"/>
    <s v="دورين"/>
    <s v="كينج"/>
    <n v="90"/>
    <x v="1"/>
    <m/>
    <m/>
    <n v="11649"/>
    <n v="1"/>
    <n v="0"/>
    <s v="الدفع عند الاستلام"/>
    <x v="35"/>
    <d v="2024-11-10T00:00:00"/>
    <d v="2024-11-18T00:00:00"/>
    <x v="2"/>
    <n v="23"/>
    <s v="محمود على"/>
    <x v="0"/>
  </r>
  <r>
    <x v="58"/>
    <s v="هومزمارت"/>
    <x v="1"/>
    <x v="4"/>
    <s v="المعادى"/>
    <x v="0"/>
    <x v="0"/>
    <s v="فردى"/>
    <s v="اسبانى"/>
    <n v="100"/>
    <x v="0"/>
    <m/>
    <m/>
    <n v="4800"/>
    <n v="1"/>
    <n v="0"/>
    <s v="الدفع عند الاستلام"/>
    <x v="36"/>
    <d v="2024-11-11T00:00:00"/>
    <d v="2024-11-21T00:00:00"/>
    <x v="2"/>
    <n v="24"/>
    <s v="محمود على"/>
    <x v="0"/>
  </r>
  <r>
    <x v="58"/>
    <s v="هومزمارت"/>
    <x v="1"/>
    <x v="4"/>
    <s v="المعادى"/>
    <x v="0"/>
    <x v="0"/>
    <s v="فردى"/>
    <s v="اسبانى"/>
    <n v="120"/>
    <x v="0"/>
    <m/>
    <m/>
    <n v="4800"/>
    <n v="1"/>
    <n v="0"/>
    <s v="الدفع عند الاستلام"/>
    <x v="36"/>
    <d v="2024-11-11T00:00:00"/>
    <d v="2024-11-21T00:00:00"/>
    <x v="2"/>
    <n v="24"/>
    <s v="محمود على"/>
    <x v="0"/>
  </r>
  <r>
    <x v="59"/>
    <s v="محمد شكرى"/>
    <x v="0"/>
    <x v="4"/>
    <s v="مدينتى"/>
    <x v="0"/>
    <x v="0"/>
    <s v="دورين"/>
    <s v="كيفنج"/>
    <n v="80"/>
    <x v="0"/>
    <m/>
    <m/>
    <n v="12099"/>
    <n v="1"/>
    <n v="12099"/>
    <s v="مسبق الدفع"/>
    <x v="37"/>
    <d v="2024-11-26T00:00:00"/>
    <d v="2024-11-27T00:00:00"/>
    <x v="2"/>
    <n v="16"/>
    <s v="محمود على"/>
    <x v="0"/>
  </r>
  <r>
    <x v="5"/>
    <s v="شيك هومز"/>
    <x v="1"/>
    <x v="4"/>
    <s v="مخزن شيك هومز"/>
    <x v="1"/>
    <x v="2"/>
    <s v="4*1"/>
    <s v="ارينا"/>
    <m/>
    <x v="1"/>
    <s v="بترولى"/>
    <m/>
    <n v="15872"/>
    <n v="4"/>
    <n v="15872"/>
    <s v="مسبق الدفع"/>
    <x v="38"/>
    <d v="2024-12-03T00:00:00"/>
    <d v="2024-11-14T00:00:00"/>
    <x v="0"/>
    <n v="6"/>
    <s v="محمود على"/>
    <x v="0"/>
  </r>
  <r>
    <x v="60"/>
    <s v="منزلى"/>
    <x v="0"/>
    <x v="4"/>
    <s v="التجمع الخامس"/>
    <x v="6"/>
    <x v="0"/>
    <s v="فردى"/>
    <s v="فورجينا"/>
    <n v="120"/>
    <x v="0"/>
    <m/>
    <m/>
    <n v="4520"/>
    <n v="1"/>
    <n v="0"/>
    <s v="حساب شركه"/>
    <x v="39"/>
    <d v="2024-11-22T00:00:00"/>
    <d v="2024-11-21T00:00:00"/>
    <x v="0"/>
    <n v="11"/>
    <s v="محمود على"/>
    <x v="0"/>
  </r>
  <r>
    <x v="16"/>
    <s v="اوسكار راتن"/>
    <x v="1"/>
    <x v="8"/>
    <s v="المخزن ابو الغيط "/>
    <x v="4"/>
    <x v="0"/>
    <s v="دورين"/>
    <s v="كينج"/>
    <n v="90"/>
    <x v="1"/>
    <m/>
    <m/>
    <n v="5766"/>
    <n v="1"/>
    <n v="0"/>
    <s v="حساب شركه"/>
    <x v="40"/>
    <d v="2024-11-26T00:00:00"/>
    <d v="2024-11-25T00:00:00"/>
    <x v="0"/>
    <n v="13"/>
    <s v="محمود على"/>
    <x v="0"/>
  </r>
  <r>
    <x v="61"/>
    <s v="حماده"/>
    <x v="0"/>
    <x v="4"/>
    <s v="المعادى"/>
    <x v="0"/>
    <x v="0"/>
    <s v="فردى"/>
    <s v="فورجينا"/>
    <n v="160"/>
    <x v="6"/>
    <m/>
    <m/>
    <n v="11395"/>
    <n v="1"/>
    <n v="11395"/>
    <s v="مسبق الدفع"/>
    <x v="40"/>
    <d v="2024-11-24T00:00:00"/>
    <d v="2024-11-27T00:00:00"/>
    <x v="2"/>
    <n v="15"/>
    <s v="محمود على"/>
    <x v="0"/>
  </r>
  <r>
    <x v="62"/>
    <s v="صفاء عبد الباقي"/>
    <x v="0"/>
    <x v="4"/>
    <s v="التجمع الخامس"/>
    <x v="0"/>
    <x v="0"/>
    <s v="دورين"/>
    <s v="كينج "/>
    <n v="80"/>
    <x v="0"/>
    <m/>
    <m/>
    <n v="12919"/>
    <n v="1"/>
    <n v="12919"/>
    <s v="مسبق الدفع"/>
    <x v="41"/>
    <d v="2024-11-30T00:00:00"/>
    <d v="2024-11-27T00:00:00"/>
    <x v="0"/>
    <n v="13"/>
    <s v="محمود على"/>
    <x v="0"/>
  </r>
  <r>
    <x v="16"/>
    <s v="اوسكار راتن"/>
    <x v="1"/>
    <x v="8"/>
    <s v="المخزن ابو الغيط "/>
    <x v="4"/>
    <x v="0"/>
    <s v="دورين"/>
    <s v="نوفال"/>
    <n v="120"/>
    <x v="4"/>
    <m/>
    <m/>
    <n v="6376"/>
    <n v="1"/>
    <n v="0"/>
    <s v="حساب شركه"/>
    <x v="41"/>
    <d v="2024-11-27T00:00:00"/>
    <d v="2024-11-25T00:00:00"/>
    <x v="0"/>
    <n v="11"/>
    <s v="محمود على"/>
    <x v="0"/>
  </r>
  <r>
    <x v="16"/>
    <s v="اوسكار راتن"/>
    <x v="1"/>
    <x v="8"/>
    <s v="المخزن"/>
    <x v="4"/>
    <x v="0"/>
    <s v="دورين "/>
    <s v="نوفال"/>
    <n v="90"/>
    <x v="1"/>
    <m/>
    <m/>
    <n v="5294"/>
    <n v="1"/>
    <n v="0"/>
    <s v="حساب شركه"/>
    <x v="41"/>
    <d v="2024-11-27T00:00:00"/>
    <d v="2024-11-25T00:00:00"/>
    <x v="0"/>
    <n v="11"/>
    <s v="محمود على"/>
    <x v="0"/>
  </r>
  <r>
    <x v="63"/>
    <s v="رندا العامرى"/>
    <x v="0"/>
    <x v="0"/>
    <s v="٦ اكتوبر الجيزه "/>
    <x v="7"/>
    <x v="0"/>
    <s v="دورين "/>
    <s v="كيفنج "/>
    <n v="80"/>
    <x v="0"/>
    <m/>
    <m/>
    <n v="7396"/>
    <n v="1"/>
    <n v="7396"/>
    <s v="مسبق الدفع"/>
    <x v="42"/>
    <d v="2024-11-28T00:00:00"/>
    <d v="2024-11-26T00:00:00"/>
    <x v="0"/>
    <n v="9"/>
    <s v="محمود على"/>
    <x v="0"/>
  </r>
  <r>
    <x v="39"/>
    <s v="ساره"/>
    <x v="0"/>
    <x v="0"/>
    <s v="٦ اكتوبر الجيزه"/>
    <x v="0"/>
    <x v="0"/>
    <s v="دورين"/>
    <s v="كينج"/>
    <n v="90"/>
    <x v="1"/>
    <m/>
    <m/>
    <n v="13439"/>
    <n v="1"/>
    <n v="0"/>
    <s v="الدفع عند الاستلام"/>
    <x v="43"/>
    <d v="2024-12-05T00:00:00"/>
    <d v="2024-11-26T00:00:00"/>
    <x v="0"/>
    <n v="6"/>
    <s v="محمود على"/>
    <x v="0"/>
  </r>
  <r>
    <x v="8"/>
    <s v="تاكى"/>
    <x v="1"/>
    <x v="4"/>
    <s v="العباسيه "/>
    <x v="3"/>
    <x v="0"/>
    <s v="فردى "/>
    <s v="امريكى"/>
    <n v="160"/>
    <x v="1"/>
    <m/>
    <m/>
    <n v="5100"/>
    <n v="1"/>
    <n v="0"/>
    <s v="حساب شركه"/>
    <x v="41"/>
    <d v="2024-12-08T00:00:00"/>
    <d v="2024-12-08T00:00:00"/>
    <x v="0"/>
    <n v="24"/>
    <s v="محمود على"/>
    <x v="0"/>
  </r>
  <r>
    <x v="64"/>
    <s v="محمد حمدى"/>
    <x v="0"/>
    <x v="4"/>
    <s v="مصر الجديده"/>
    <x v="2"/>
    <x v="0"/>
    <s v="فردى"/>
    <s v="كوين "/>
    <n v="160"/>
    <x v="5"/>
    <s v="ابيض"/>
    <m/>
    <n v="5700"/>
    <n v="1"/>
    <n v="0"/>
    <s v="الدفع عند الاستلام"/>
    <x v="44"/>
    <d v="2024-12-02T00:00:00"/>
    <d v="2024-11-27T00:00:00"/>
    <x v="0"/>
    <n v="5"/>
    <s v="محمود على"/>
    <x v="0"/>
  </r>
  <r>
    <x v="65"/>
    <s v="بافلى هانى"/>
    <x v="0"/>
    <x v="4"/>
    <s v="شبرا "/>
    <x v="0"/>
    <x v="0"/>
    <s v="فردى "/>
    <s v="اسبانى "/>
    <n v="120"/>
    <x v="4"/>
    <m/>
    <m/>
    <n v="7965"/>
    <n v="1"/>
    <n v="0"/>
    <s v="الدفع عند الاستلام"/>
    <x v="45"/>
    <d v="2024-12-05T00:00:00"/>
    <d v="2024-12-10T00:00:00"/>
    <x v="2"/>
    <n v="16"/>
    <s v="محمود على"/>
    <x v="0"/>
  </r>
  <r>
    <x v="8"/>
    <s v="تاكى"/>
    <x v="1"/>
    <x v="4"/>
    <s v="العباسيه "/>
    <x v="3"/>
    <x v="2"/>
    <s v="T1"/>
    <s v="T1"/>
    <m/>
    <x v="3"/>
    <m/>
    <m/>
    <n v="6000"/>
    <n v="1"/>
    <n v="0"/>
    <s v="الدفع عند الاستلام"/>
    <x v="46"/>
    <d v="2024-12-05T00:00:00"/>
    <d v="2024-11-20T00:00:00"/>
    <x v="0"/>
    <n v="1"/>
    <s v="م محمد "/>
    <x v="0"/>
  </r>
  <r>
    <x v="66"/>
    <s v="رنا ميلاد"/>
    <x v="0"/>
    <x v="1"/>
    <s v="جليم الإسكندرية "/>
    <x v="0"/>
    <x v="1"/>
    <m/>
    <s v="مكتبه"/>
    <m/>
    <x v="3"/>
    <m/>
    <m/>
    <n v="8449"/>
    <n v="1"/>
    <n v="8449"/>
    <s v="مسبق الدفع"/>
    <x v="47"/>
    <d v="2024-12-10T00:00:00"/>
    <d v="2024-12-23T00:00:00"/>
    <x v="2"/>
    <n v="26"/>
    <s v=" شركه شحن"/>
    <x v="0"/>
  </r>
  <r>
    <x v="67"/>
    <s v="محمد ناجى"/>
    <x v="0"/>
    <x v="4"/>
    <s v="مدينه نصر "/>
    <x v="0"/>
    <x v="1"/>
    <s v="دورين"/>
    <s v="ميكانزم"/>
    <m/>
    <x v="0"/>
    <s v="بني"/>
    <m/>
    <n v="6211"/>
    <n v="1"/>
    <n v="0"/>
    <s v="الدفع عند الاستلام"/>
    <x v="47"/>
    <d v="2024-12-10T00:00:00"/>
    <d v="2024-12-19T00:00:00"/>
    <x v="2"/>
    <n v="22"/>
    <s v="محمود على"/>
    <x v="0"/>
  </r>
  <r>
    <x v="68"/>
    <s v="احمد عبد الستار"/>
    <x v="0"/>
    <x v="1"/>
    <s v="المندره اسكندريه"/>
    <x v="0"/>
    <x v="0"/>
    <s v="دورين"/>
    <s v="كيفنج"/>
    <n v="100"/>
    <x v="1"/>
    <m/>
    <m/>
    <n v="14905"/>
    <n v="1"/>
    <n v="14905"/>
    <s v="مسبق الدفع"/>
    <x v="48"/>
    <d v="2024-12-15T00:00:00"/>
    <m/>
    <x v="1"/>
    <m/>
    <s v="محمود على"/>
    <x v="1"/>
  </r>
  <r>
    <x v="69"/>
    <s v="نور"/>
    <x v="0"/>
    <x v="4"/>
    <s v="القاهره الجديده"/>
    <x v="0"/>
    <x v="1"/>
    <s v="دورين"/>
    <s v="ميكانزم"/>
    <m/>
    <x v="1"/>
    <s v="بني"/>
    <m/>
    <n v="10249"/>
    <n v="1"/>
    <n v="10249"/>
    <s v="مسبق الدفع"/>
    <x v="49"/>
    <d v="2024-12-12T00:00:00"/>
    <m/>
    <x v="1"/>
    <m/>
    <s v="محمود على"/>
    <x v="1"/>
  </r>
  <r>
    <x v="70"/>
    <s v="نور"/>
    <x v="0"/>
    <x v="4"/>
    <s v="القاهره الجديده"/>
    <x v="0"/>
    <x v="1"/>
    <s v="رف سحاب"/>
    <m/>
    <m/>
    <x v="1"/>
    <s v="بني"/>
    <m/>
    <n v="9029"/>
    <n v="1"/>
    <n v="9029"/>
    <s v="مسبق الدفع"/>
    <x v="49"/>
    <d v="2024-12-12T00:00:00"/>
    <m/>
    <x v="1"/>
    <m/>
    <s v="محمود على"/>
    <x v="1"/>
  </r>
  <r>
    <x v="71"/>
    <s v="تامر"/>
    <x v="0"/>
    <x v="6"/>
    <s v="العين السخنه"/>
    <x v="0"/>
    <x v="1"/>
    <s v="2 ميكانزم"/>
    <m/>
    <m/>
    <x v="1"/>
    <s v="بيج "/>
    <m/>
    <n v="9029"/>
    <n v="1"/>
    <n v="9029"/>
    <s v="مسبق الدفع"/>
    <x v="49"/>
    <d v="2024-12-12T00:00:00"/>
    <m/>
    <x v="1"/>
    <m/>
    <s v="محمود على"/>
    <x v="1"/>
  </r>
  <r>
    <x v="72"/>
    <s v="هناء اسامه"/>
    <x v="0"/>
    <x v="4"/>
    <s v="القطاميه"/>
    <x v="0"/>
    <x v="0"/>
    <s v="دورين"/>
    <s v="نوفال"/>
    <n v="80"/>
    <x v="0"/>
    <m/>
    <m/>
    <n v="12099"/>
    <n v="1"/>
    <n v="12099"/>
    <s v="مسبق الدفع"/>
    <x v="50"/>
    <d v="2024-12-17T00:00:00"/>
    <m/>
    <x v="1"/>
    <m/>
    <s v="محمود على"/>
    <x v="1"/>
  </r>
  <r>
    <x v="16"/>
    <s v="اوسكار راتن"/>
    <x v="1"/>
    <x v="8"/>
    <s v="المخزن ابو الغيط "/>
    <x v="4"/>
    <x v="0"/>
    <s v="دورين"/>
    <s v="كيفنج "/>
    <n v="90"/>
    <x v="2"/>
    <m/>
    <m/>
    <n v="5217"/>
    <n v="1"/>
    <n v="0"/>
    <s v="حساب شركه"/>
    <x v="51"/>
    <d v="2024-12-14T00:00:00"/>
    <d v="2024-12-10T00:00:00"/>
    <x v="0"/>
    <n v="9"/>
    <s v="محمود على"/>
    <x v="0"/>
  </r>
  <r>
    <x v="73"/>
    <s v="محمد عادل"/>
    <x v="0"/>
    <x v="4"/>
    <s v="العبور"/>
    <x v="0"/>
    <x v="0"/>
    <s v="منطبق"/>
    <m/>
    <m/>
    <x v="1"/>
    <s v="اسود"/>
    <m/>
    <n v="6211"/>
    <n v="1"/>
    <n v="0"/>
    <s v="الدفع عند الاستلام"/>
    <x v="52"/>
    <d v="2024-12-14T00:00:00"/>
    <d v="2024-12-19T00:00:00"/>
    <x v="2"/>
    <n v="15"/>
    <s v="محمود على"/>
    <x v="0"/>
  </r>
  <r>
    <x v="74"/>
    <s v="مريم عنان"/>
    <x v="0"/>
    <x v="4"/>
    <s v="اب تاون كايرو التجمع "/>
    <x v="1"/>
    <x v="0"/>
    <s v="دورين"/>
    <s v="كينج"/>
    <m/>
    <x v="1"/>
    <m/>
    <m/>
    <n v="7707"/>
    <n v="1"/>
    <n v="0"/>
    <s v="الدفع عند الاستلام"/>
    <x v="53"/>
    <d v="2024-12-31T00:00:00"/>
    <d v="2024-12-12T00:00:00"/>
    <x v="0"/>
    <n v="3"/>
    <s v="محمود على"/>
    <x v="0"/>
  </r>
  <r>
    <x v="75"/>
    <s v="هبه عطيه"/>
    <x v="0"/>
    <x v="4"/>
    <s v="القاهره الجديده"/>
    <x v="0"/>
    <x v="1"/>
    <s v="دورين"/>
    <s v="ميكانزم"/>
    <m/>
    <x v="1"/>
    <s v="بني"/>
    <m/>
    <n v="11199"/>
    <n v="1"/>
    <n v="0"/>
    <s v="الدفع عند الاستلام"/>
    <x v="54"/>
    <d v="2024-12-24T00:00:00"/>
    <d v="2024-12-19T00:00:00"/>
    <x v="0"/>
    <n v="7"/>
    <s v="محمود على"/>
    <x v="0"/>
  </r>
  <r>
    <x v="76"/>
    <s v="حمدى ذكرى"/>
    <x v="0"/>
    <x v="0"/>
    <s v="٦ اكتوبر الجيزه"/>
    <x v="0"/>
    <x v="0"/>
    <s v="دورين"/>
    <s v="نوفال"/>
    <n v="80"/>
    <x v="1"/>
    <m/>
    <m/>
    <n v="13099"/>
    <n v="1"/>
    <n v="0"/>
    <s v="الدفع عند الاستلام"/>
    <x v="54"/>
    <d v="2024-12-28T00:00:00"/>
    <d v="2024-12-29T00:00:00"/>
    <x v="2"/>
    <n v="17"/>
    <s v="محمود على"/>
    <x v="0"/>
  </r>
  <r>
    <x v="5"/>
    <s v="شيك هومز"/>
    <x v="1"/>
    <x v="4"/>
    <s v="مخزن شيك هومز"/>
    <x v="1"/>
    <x v="2"/>
    <s v="4*1"/>
    <s v="ارينا"/>
    <m/>
    <x v="1"/>
    <s v="اسود"/>
    <m/>
    <n v="8700"/>
    <n v="4"/>
    <n v="0"/>
    <s v="حساب شركه"/>
    <x v="55"/>
    <d v="2025-01-05T00:00:00"/>
    <d v="2024-12-29T00:00:00"/>
    <x v="0"/>
    <n v="15"/>
    <s v="محمود على"/>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E7B9D6-D394-49A2-9927-0E3BCF350BAF}" name="PivotTable10"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0">
  <location ref="AV5:AW9" firstHeaderRow="1" firstDataRow="1" firstDataCol="1"/>
  <pivotFields count="26">
    <pivotField showAll="0"/>
    <pivotField showAll="0"/>
    <pivotField showAll="0"/>
    <pivotField axis="axisRow" showAll="0" sortType="descending">
      <items count="17">
        <item m="1" x="11"/>
        <item x="5"/>
        <item x="8"/>
        <item x="4"/>
        <item m="1" x="12"/>
        <item x="3"/>
        <item x="6"/>
        <item x="10"/>
        <item n="السويس" x="9"/>
        <item x="2"/>
        <item m="1" x="13"/>
        <item m="1" x="15"/>
        <item x="7"/>
        <item m="1" x="14"/>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showAll="0"/>
    <pivotField dataField="1"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3"/>
  </rowFields>
  <rowItems count="4">
    <i>
      <x v="3"/>
    </i>
    <i>
      <x v="9"/>
    </i>
    <i>
      <x v="5"/>
    </i>
    <i t="grand">
      <x/>
    </i>
  </rowItems>
  <colItems count="1">
    <i/>
  </colItems>
  <dataFields count="1">
    <dataField name="Sum of الكميه" fld="14" baseField="0" baseItem="0"/>
  </dataFields>
  <formats count="1">
    <format dxfId="12">
      <pivotArea outline="0" collapsedLevelsAreSubtotals="1" fieldPosition="0"/>
    </format>
  </formats>
  <chartFormats count="1">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29C6F-CD61-439D-9894-1D3258A957C5}" name="PivotTable11"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BU4:BV6"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dataField="1"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25"/>
  </rowFields>
  <rowItems count="2">
    <i>
      <x v="8"/>
    </i>
    <i t="grand">
      <x/>
    </i>
  </rowItems>
  <colItems count="1">
    <i/>
  </colItems>
  <dataFields count="1">
    <dataField name="Sum of سعر البيع " fld="13" baseField="0" baseItem="0" numFmtId="165"/>
  </dataFields>
  <formats count="1">
    <format dxfId="13">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D5F55-8C37-4F8F-9FFB-14530523DEC5}" name="PivotTable9"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P5:AQ8"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axis="axisRow" dataField="1" showAll="0">
      <items count="4">
        <item x="0"/>
        <item m="1" x="2"/>
        <item x="1"/>
        <item t="default"/>
      </items>
    </pivotField>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3"/>
  </rowFields>
  <rowItems count="3">
    <i>
      <x/>
    </i>
    <i>
      <x v="2"/>
    </i>
    <i t="grand">
      <x/>
    </i>
  </rowItems>
  <colItems count="1">
    <i/>
  </colItems>
  <dataFields count="1">
    <dataField name="Count of الحالة" fld="23" subtotal="count" showDataAs="percentOfTotal" baseField="0" baseItem="0" numFmtId="10"/>
  </dataFields>
  <formats count="2">
    <format dxfId="15">
      <pivotArea outline="0" collapsedLevelsAreSubtotals="1" fieldPosition="0"/>
    </format>
    <format dxfId="14">
      <pivotArea collapsedLevelsAreSubtotals="1" fieldPosition="0">
        <references count="1">
          <reference field="23" count="0"/>
        </references>
      </pivotArea>
    </format>
  </formats>
  <chartFormats count="4">
    <chartFormat chart="8" format="9" series="1">
      <pivotArea type="data" outline="0" fieldPosition="0">
        <references count="1">
          <reference field="4294967294" count="1" selected="0">
            <x v="0"/>
          </reference>
        </references>
      </pivotArea>
    </chartFormat>
    <chartFormat chart="8" format="10">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3" count="1" selected="0">
            <x v="0"/>
          </reference>
        </references>
      </pivotArea>
    </chartFormat>
    <chartFormat chart="8" format="12">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5F1B4-F03C-4E2E-B7CB-067355900F72}" name="PivotTable7" cacheId="1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D5:AE9"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sortType="descending">
      <items count="8">
        <item x="1"/>
        <item x="3"/>
        <item x="0"/>
        <item m="1" x="6"/>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5">
        <item x="3"/>
        <item n="نبيتي" x="9"/>
        <item x="7"/>
        <item x="4"/>
        <item x="5"/>
        <item x="8"/>
        <item x="6"/>
        <item m="1" x="10"/>
        <item x="2"/>
        <item m="1" x="13"/>
        <item x="0"/>
        <item n=" اسود " m="1" x="12"/>
        <item n=" اسود" x="1"/>
        <item n="  اسود" m="1" x="1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10"/>
  </rowFields>
  <rowItems count="4">
    <i>
      <x v="3"/>
    </i>
    <i>
      <x/>
    </i>
    <i>
      <x v="10"/>
    </i>
    <i t="grand">
      <x/>
    </i>
  </rowItems>
  <colItems count="1">
    <i/>
  </colItems>
  <dataFields count="1">
    <dataField name="Sum of الكميه" fld="14" baseField="0" baseItem="0" numFmtId="1"/>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9AA7D-3FDB-4A85-89A2-CEEEA70B0011}" name="PivotTable6" cacheId="1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X5:Y10"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axis="axisRow" showAll="0" sortType="descending">
      <items count="8">
        <item n="كنبة" x="2"/>
        <item x="4"/>
        <item x="5"/>
        <item m="1" x="6"/>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6"/>
  </rowFields>
  <rowItems count="5">
    <i>
      <x/>
    </i>
    <i>
      <x v="4"/>
    </i>
    <i>
      <x v="6"/>
    </i>
    <i>
      <x v="5"/>
    </i>
    <i t="grand">
      <x/>
    </i>
  </rowItems>
  <colItems count="1">
    <i/>
  </colItems>
  <dataFields count="1">
    <dataField name="Sum of الكميه" fld="14"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BD3157-C952-4F9F-9868-FE41B5924004}" name="PivotTable4" cacheId="1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5:K6" firstHeaderRow="1" firstDataRow="1" firstDataCol="0"/>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dataField="1"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Items count="1">
    <i/>
  </rowItems>
  <colItems count="1">
    <i/>
  </colItems>
  <dataFields count="1">
    <dataField name="Average of سعر البيع " fld="13" subtotal="average" baseField="0" baseItem="0" numFmtId="165"/>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AD6E30-9F9C-456B-A821-D3700F828C32}" name="PivotTable5"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Q5:R10"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axis="axisRow" showAll="0" sortType="descending">
      <items count="13">
        <item m="1" x="9"/>
        <item x="0"/>
        <item m="1" x="8"/>
        <item x="6"/>
        <item n="كيمت" x="7"/>
        <item x="2"/>
        <item m="1" x="10"/>
        <item x="1"/>
        <item x="5"/>
        <item m="1" x="11"/>
        <item x="3"/>
        <item n="اوسكار ريتن" x="4"/>
        <item t="default"/>
      </items>
      <autoSortScope>
        <pivotArea dataOnly="0" outline="0" fieldPosition="0">
          <references count="1">
            <reference field="4294967294" count="1" selected="0">
              <x v="0"/>
            </reference>
          </references>
        </pivotArea>
      </autoSortScope>
    </pivotField>
    <pivotField showAll="0">
      <items count="8">
        <item x="1"/>
        <item x="3"/>
        <item x="0"/>
        <item m="1" x="6"/>
        <item x="5"/>
        <item x="4"/>
        <item x="2"/>
        <item t="default"/>
      </items>
    </pivotField>
    <pivotField showAll="0"/>
    <pivotField showAll="0"/>
    <pivotField showAll="0"/>
    <pivotField showAll="0"/>
    <pivotField showAll="0"/>
    <pivotField showAll="0"/>
    <pivotField dataField="1"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5"/>
  </rowFields>
  <rowItems count="5">
    <i>
      <x v="10"/>
    </i>
    <i>
      <x v="1"/>
    </i>
    <i>
      <x v="7"/>
    </i>
    <i>
      <x v="5"/>
    </i>
    <i t="grand">
      <x/>
    </i>
  </rowItems>
  <colItems count="1">
    <i/>
  </colItems>
  <dataFields count="1">
    <dataField name="Sum of سعر البيع " fld="13" baseField="0" baseItem="0"/>
  </dataFields>
  <formats count="1">
    <format dxfId="19">
      <pivotArea outline="0" collapsedLevelsAreSubtotals="1"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F2CA0C-F2F5-4E05-B485-4D72C5D7066B}" name="PivotTable8"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AJ5:AK9"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axis="axisRow" dataField="1"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0"/>
  </rowFields>
  <rowItems count="4">
    <i>
      <x v="1"/>
    </i>
    <i>
      <x/>
    </i>
    <i>
      <x v="2"/>
    </i>
    <i t="grand">
      <x/>
    </i>
  </rowItems>
  <colItems count="1">
    <i/>
  </colItems>
  <dataFields count="1">
    <dataField name="Count of Delivery Performance" fld="20" subtotal="count" showDataAs="percentOfTotal" baseField="0" baseItem="0" numFmtId="10"/>
  </dataFields>
  <formats count="2">
    <format dxfId="21">
      <pivotArea outline="0" collapsedLevelsAreSubtotals="1" fieldPosition="0"/>
    </format>
    <format dxfId="20">
      <pivotArea dataOnly="0" fieldPosition="0">
        <references count="1">
          <reference field="20" count="0"/>
        </references>
      </pivotArea>
    </format>
  </formats>
  <chartFormats count="5">
    <chartFormat chart="13" format="15" series="1">
      <pivotArea type="data" outline="0" fieldPosition="0">
        <references count="1">
          <reference field="4294967294" count="1" selected="0">
            <x v="0"/>
          </reference>
        </references>
      </pivotArea>
    </chartFormat>
    <chartFormat chart="13" format="16">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0" count="1" selected="0">
            <x v="1"/>
          </reference>
        </references>
      </pivotArea>
    </chartFormat>
    <chartFormat chart="13" format="18">
      <pivotArea type="data" outline="0" fieldPosition="0">
        <references count="2">
          <reference field="4294967294" count="1" selected="0">
            <x v="0"/>
          </reference>
          <reference field="20" count="1" selected="0">
            <x v="0"/>
          </reference>
        </references>
      </pivotArea>
    </chartFormat>
    <chartFormat chart="13" format="19">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B228DF-9C5F-4F02-9B95-E20AE0137EA2}" name="PivotTable12"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35">
  <location ref="BH8:BI11" firstHeaderRow="1" firstDataRow="1" firstDataCol="1"/>
  <pivotFields count="26">
    <pivotField axis="axisRow" showAll="0">
      <items count="78">
        <item x="13"/>
        <item x="53"/>
        <item x="47"/>
        <item x="46"/>
        <item x="55"/>
        <item x="54"/>
        <item x="7"/>
        <item x="6"/>
        <item x="40"/>
        <item x="38"/>
        <item x="68"/>
        <item x="10"/>
        <item x="48"/>
        <item x="31"/>
        <item x="22"/>
        <item x="51"/>
        <item x="16"/>
        <item x="34"/>
        <item x="65"/>
        <item x="29"/>
        <item x="8"/>
        <item x="71"/>
        <item x="19"/>
        <item x="42"/>
        <item x="15"/>
        <item x="24"/>
        <item x="61"/>
        <item x="76"/>
        <item x="0"/>
        <item x="33"/>
        <item x="43"/>
        <item x="44"/>
        <item x="20"/>
        <item x="66"/>
        <item x="63"/>
        <item x="4"/>
        <item x="39"/>
        <item x="27"/>
        <item x="3"/>
        <item x="2"/>
        <item x="5"/>
        <item x="14"/>
        <item x="17"/>
        <item x="62"/>
        <item x="32"/>
        <item x="50"/>
        <item x="36"/>
        <item x="21"/>
        <item x="25"/>
        <item x="9"/>
        <item x="52"/>
        <item x="57"/>
        <item x="45"/>
        <item x="12"/>
        <item x="37"/>
        <item x="11"/>
        <item x="64"/>
        <item x="59"/>
        <item x="73"/>
        <item x="67"/>
        <item x="1"/>
        <item x="74"/>
        <item x="41"/>
        <item x="60"/>
        <item x="28"/>
        <item x="35"/>
        <item x="70"/>
        <item x="69"/>
        <item x="30"/>
        <item x="75"/>
        <item x="26"/>
        <item x="56"/>
        <item x="72"/>
        <item x="58"/>
        <item x="23"/>
        <item x="49"/>
        <item x="18"/>
        <item t="default"/>
      </items>
    </pivotField>
    <pivotField showAll="0"/>
    <pivotField axis="axisRow" dataField="1" showAll="0">
      <items count="3">
        <item sd="0" x="0"/>
        <item sd="0" x="1"/>
        <item t="default"/>
      </items>
    </pivotField>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2">
    <field x="2"/>
    <field x="0"/>
  </rowFields>
  <rowItems count="3">
    <i>
      <x/>
    </i>
    <i>
      <x v="1"/>
    </i>
    <i t="grand">
      <x/>
    </i>
  </rowItems>
  <colItems count="1">
    <i/>
  </colItems>
  <dataFields count="1">
    <dataField name="Count of نوع العميل" fld="2" subtotal="count"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033792-9CA2-42C7-9831-BF64455F43E1}" name="PivotTable3" cacheId="1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5:F8"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axis="axisRow" dataField="1" showAll="0">
      <items count="4">
        <item x="0"/>
        <item m="1" x="2"/>
        <item x="1"/>
        <item t="default"/>
      </items>
    </pivotField>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3"/>
  </rowFields>
  <rowItems count="3">
    <i>
      <x/>
    </i>
    <i>
      <x v="2"/>
    </i>
    <i t="grand">
      <x/>
    </i>
  </rowItems>
  <colItems count="1">
    <i/>
  </colItems>
  <dataFields count="1">
    <dataField name="Count of الحالة"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B76513-33A6-45A2-A323-EAF83C80109A}" name="PivotTable1" cacheId="1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N4:BO7" firstHeaderRow="1" firstDataRow="1" firstDataCol="1"/>
  <pivotFields count="26">
    <pivotField showAll="0"/>
    <pivotField showAll="0"/>
    <pivotField showAll="0"/>
    <pivotField showAll="0">
      <items count="17">
        <item x="1"/>
        <item x="0"/>
        <item m="1" x="14"/>
        <item x="7"/>
        <item m="1" x="15"/>
        <item m="1" x="13"/>
        <item x="2"/>
        <item x="9"/>
        <item x="10"/>
        <item x="6"/>
        <item x="3"/>
        <item m="1" x="12"/>
        <item x="4"/>
        <item x="8"/>
        <item x="5"/>
        <item m="1" x="11"/>
        <item t="default"/>
      </items>
    </pivotField>
    <pivotField showAll="0"/>
    <pivotField showAll="0"/>
    <pivotField showAll="0">
      <items count="8">
        <item x="1"/>
        <item x="3"/>
        <item x="0"/>
        <item m="1" x="6"/>
        <item x="5"/>
        <item x="4"/>
        <item x="2"/>
        <item t="default"/>
      </items>
    </pivotField>
    <pivotField showAll="0"/>
    <pivotField showAll="0"/>
    <pivotField showAll="0"/>
    <pivotField showAll="0"/>
    <pivotField showAll="0"/>
    <pivotField showAll="0"/>
    <pivotField dataField="1"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pivotField axis="axisRow" showAll="0">
      <items count="4">
        <item x="0"/>
        <item m="1" x="2"/>
        <item x="1"/>
        <item t="default"/>
      </items>
    </pivotField>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3"/>
  </rowFields>
  <rowItems count="3">
    <i>
      <x/>
    </i>
    <i>
      <x v="2"/>
    </i>
    <i t="grand">
      <x/>
    </i>
  </rowItems>
  <colItems count="1">
    <i/>
  </colItems>
  <dataFields count="1">
    <dataField name="Sum of سعر البيع " fld="13" baseField="0" baseItem="0" numFmtId="16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ميعاد_الطلب" xr10:uid="{DBE5136C-7BF8-4428-B344-9A43CB3E59F7}" sourceName="Months (ميعاد الطلب)">
  <pivotTables>
    <pivotTable tabId="4" name="PivotTable11"/>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 tabId="4" name="PivotTable12"/>
  </pivotTables>
  <data>
    <tabular pivotCacheId="45146127">
      <items count="14">
        <i x="7"/>
        <i x="8" s="1"/>
        <i x="9"/>
        <i x="10"/>
        <i x="11"/>
        <i x="12"/>
        <i x="0"/>
        <i x="1" nd="1"/>
        <i x="2" nd="1"/>
        <i x="3" nd="1"/>
        <i x="4" nd="1"/>
        <i x="5" nd="1"/>
        <i x="6"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 xr10:uid="{5E43D78C-5E70-410B-B29E-C0426D2655CE}" sourceName="المحافظه">
  <pivotTables>
    <pivotTable tabId="4" name="PivotTable11"/>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 tabId="4" name="PivotTable12"/>
  </pivotTables>
  <data>
    <tabular pivotCacheId="45146127">
      <items count="16">
        <i x="2" s="1"/>
        <i x="3" s="1"/>
        <i x="4" s="1"/>
        <i x="1" s="1" nd="1"/>
        <i x="0" s="1" nd="1"/>
        <i x="14" s="1" nd="1"/>
        <i x="7" s="1" nd="1"/>
        <i x="15" s="1" nd="1"/>
        <i x="13" s="1" nd="1"/>
        <i x="9" s="1" nd="1"/>
        <i x="10" s="1" nd="1"/>
        <i x="6" s="1" nd="1"/>
        <i x="12" s="1" nd="1"/>
        <i x="8" s="1" nd="1"/>
        <i x="5"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نتج" xr10:uid="{208B56B7-5C1E-458D-A073-C107889E307D}" sourceName="اسم المنتج">
  <pivotTables>
    <pivotTable tabId="4" name="PivotTable6"/>
    <pivotTable tabId="4" name="PivotTable1"/>
    <pivotTable tabId="4" name="PivotTable10"/>
    <pivotTable tabId="4" name="PivotTable11"/>
    <pivotTable tabId="4" name="PivotTable3"/>
    <pivotTable tabId="4" name="PivotTable4"/>
    <pivotTable tabId="4" name="PivotTable5"/>
    <pivotTable tabId="4" name="PivotTable7"/>
    <pivotTable tabId="4" name="PivotTable8"/>
    <pivotTable tabId="4" name="PivotTable9"/>
    <pivotTable tabId="4" name="PivotTable12"/>
  </pivotTables>
  <data>
    <tabular pivotCacheId="45146127">
      <items count="7">
        <i x="1" s="1"/>
        <i x="3" s="1"/>
        <i x="0" s="1"/>
        <i x="2" s="1"/>
        <i x="6"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ميعاد الطلب) 1" xr10:uid="{4006F8B9-8913-49AF-BF8F-82A2F775CCA4}" cache="Slicer_Months__ميعاد_الطلب" caption="Months (ميعاد الطلب)" columnCount="6" showCaption="0" style="Slicer Style 1 2" rowHeight="234950"/>
  <slicer name="المحافظه 1" xr10:uid="{067C86F0-8BEF-4958-8AEE-D3C8F8592C19}" cache="Slicer_المحافظه" caption="المحافظه" columnCount="2" style="Slicer Style 1 2" rowHeight="234950"/>
  <slicer name="اسم المنتج 1" xr10:uid="{E9AEFC62-5071-4988-AF29-A67E13E97868}" cache="Slicer_اسم_المنتج" caption="اسم المنتج" columnCount="2" style="Slicer Style 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0EA176-CCE0-49EE-850B-37B6AFA7DE58}" name="sales" displayName="sales" ref="A1:X114" totalsRowShown="0" headerRowDxfId="51" dataDxfId="49" headerRowBorderDxfId="50" tableBorderDxfId="48">
  <autoFilter ref="A1:X114" xr:uid="{00000000-0001-0000-0000-000000000000}"/>
  <tableColumns count="24">
    <tableColumn id="2" xr3:uid="{B8ACD984-7305-4BC0-B965-471005A34A64}" name="أسم العميل" dataDxfId="47"/>
    <tableColumn id="1" xr3:uid="{998CFAD8-E1AA-4590-826E-1B299E6FAC44}" name="trimmed" dataDxfId="46">
      <calculatedColumnFormula xml:space="preserve"> TRIM(sales[[#This Row],[أسم العميل]])</calculatedColumnFormula>
    </tableColumn>
    <tableColumn id="24" xr3:uid="{2FF16E69-D79F-4804-92FC-C032905F000C}" name="نوع العميل" dataDxfId="45">
      <calculatedColumnFormula>IF(OR(B2="شيك هومز", B2="تاكى", B2="اوسكار راتن", B2="هومزمارت"), "شركات", "افراد")</calculatedColumnFormula>
    </tableColumn>
    <tableColumn id="3" xr3:uid="{76AE240C-A68F-4CF1-A431-4BE04BB57556}" name="المحافظه" dataDxfId="44"/>
    <tableColumn id="4" xr3:uid="{038D56A2-34CA-4669-AD60-2AC9B8BB53CC}" name="العنوان" dataDxfId="43"/>
    <tableColumn id="5" xr3:uid="{B2C041CB-8CFB-43B3-8CC0-FE3D8BA4A1B8}" name="منصة البيع " dataDxfId="42"/>
    <tableColumn id="6" xr3:uid="{A59C677E-BCD2-469A-97AE-60044A1398A4}" name="اسم المنتج" dataDxfId="41"/>
    <tableColumn id="7" xr3:uid="{C3E54C46-B8A4-4E59-B226-280554AC267B}" name="تصميم" dataDxfId="40"/>
    <tableColumn id="8" xr3:uid="{1D28A3C2-7773-4449-A527-5B0F497A6379}" name="النوع" dataDxfId="39"/>
    <tableColumn id="9" xr3:uid="{1F9AACF8-AAC1-480E-B7F3-42B6202AEC02}" name="المقاس" dataDxfId="38"/>
    <tableColumn id="10" xr3:uid="{ABFFC68B-2A18-4A54-9241-DD3CFF8B27A1}" name="لون المعدن" dataDxfId="37"/>
    <tableColumn id="11" xr3:uid="{13B56127-7D77-4A51-ABD2-840FF444CE4F}" name="لون القماش" dataDxfId="36"/>
    <tableColumn id="12" xr3:uid="{A3B38B14-E225-4862-9F31-241BF8A829F5}" name="وصف المنتج" dataDxfId="35"/>
    <tableColumn id="13" xr3:uid="{32AA01B2-1923-4E62-830A-580D8F212197}" name="سعر البيع " dataDxfId="34"/>
    <tableColumn id="14" xr3:uid="{63CFCC17-94CE-4BB8-956F-6541ACB36E0D}" name="الكميه" dataDxfId="33"/>
    <tableColumn id="15" xr3:uid="{03E4FA69-7C83-4C41-9936-44A5BC24E40A}" name="عربون" dataDxfId="32"/>
    <tableColumn id="16" xr3:uid="{CF0093E8-956E-426B-9376-627CED49C73B}" name="طريقه الدفع " dataDxfId="31"/>
    <tableColumn id="17" xr3:uid="{89AA20D1-4F91-4433-9099-E4A48A2282B4}" name="ميعاد الطلب" dataDxfId="30"/>
    <tableColumn id="18" xr3:uid="{670E83BD-8E7B-4657-8C32-8F58A1EFA7A2}" name="ميعاد التسليم" dataDxfId="29"/>
    <tableColumn id="19" xr3:uid="{6A48D8D6-D793-4FB9-A9FB-3E4951BAE6F4}" name="تاريخ التسليم" dataDxfId="28"/>
    <tableColumn id="23" xr3:uid="{592987FB-E46A-4B81-9A35-7AAD6724086B}" name="Delivery Performance" dataDxfId="27">
      <calculatedColumnFormula>IF(sales[[#This Row],[تاريخ التسليم]]&lt;=sales[[#This Row],[ميعاد التسليم]],"on time","late")</calculatedColumnFormula>
    </tableColumn>
    <tableColumn id="20" xr3:uid="{BAB157E2-8A83-45AA-9E1E-AD2F5AF412A3}" name="عدد أيام انتظار العميل" dataDxfId="26">
      <calculatedColumnFormula>T2-R2</calculatedColumnFormula>
    </tableColumn>
    <tableColumn id="21" xr3:uid="{65017F55-63A5-421C-981E-485D0989907C}" name="المسئول عن التسليم" dataDxfId="25"/>
    <tableColumn id="22" xr3:uid="{B3860E61-A406-430A-A57C-F31B280A6D6C}" name="الحالة"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30"/>
  <sheetViews>
    <sheetView rightToLeft="1" topLeftCell="A17" zoomScaleNormal="100" workbookViewId="0">
      <selection activeCell="B35" sqref="B35"/>
    </sheetView>
  </sheetViews>
  <sheetFormatPr defaultColWidth="8.90625" defaultRowHeight="15.5" x14ac:dyDescent="0.35"/>
  <cols>
    <col min="1" max="1" width="15.1796875" style="9" bestFit="1" customWidth="1"/>
    <col min="2" max="2" width="29.6328125" style="9" customWidth="1"/>
    <col min="3" max="3" width="30" style="9" bestFit="1" customWidth="1"/>
    <col min="4" max="4" width="12.6328125" style="9" bestFit="1" customWidth="1"/>
    <col min="5" max="5" width="30" style="9" bestFit="1" customWidth="1"/>
    <col min="6" max="6" width="10.6328125" style="9" bestFit="1" customWidth="1"/>
    <col min="7" max="7" width="9.08984375" style="9" bestFit="1" customWidth="1"/>
    <col min="8" max="8" width="11.08984375" style="9" bestFit="1" customWidth="1"/>
    <col min="9" max="9" width="14.08984375" style="19" bestFit="1" customWidth="1"/>
    <col min="10" max="11" width="14.453125" style="9" bestFit="1" customWidth="1"/>
    <col min="12" max="12" width="32.81640625" style="9" bestFit="1" customWidth="1"/>
    <col min="13" max="13" width="10" style="14" bestFit="1" customWidth="1"/>
    <col min="14" max="14" width="10.08984375" style="14" bestFit="1" customWidth="1"/>
    <col min="15" max="15" width="15.36328125" style="14" bestFit="1" customWidth="1"/>
    <col min="16" max="16" width="15.08984375" style="33" bestFit="1" customWidth="1"/>
    <col min="17" max="17" width="15.81640625" style="15" bestFit="1" customWidth="1"/>
    <col min="18" max="18" width="15.90625" style="15" bestFit="1" customWidth="1"/>
    <col min="19" max="19" width="25.81640625" style="15" bestFit="1" customWidth="1"/>
    <col min="20" max="20" width="22.6328125" style="33" bestFit="1" customWidth="1"/>
    <col min="21" max="21" width="21.1796875" style="15" bestFit="1" customWidth="1"/>
    <col min="22" max="22" width="9.36328125" style="9" bestFit="1" customWidth="1"/>
    <col min="23" max="23" width="11.36328125" style="9" bestFit="1" customWidth="1"/>
    <col min="24" max="24" width="9.36328125" style="1" bestFit="1" customWidth="1"/>
    <col min="25" max="16384" width="8.90625" style="1"/>
  </cols>
  <sheetData>
    <row r="1" spans="1:24" ht="20.149999999999999" customHeight="1" x14ac:dyDescent="0.35">
      <c r="A1" s="39" t="s">
        <v>0</v>
      </c>
      <c r="B1" s="39" t="s">
        <v>297</v>
      </c>
      <c r="C1" s="39" t="s">
        <v>298</v>
      </c>
      <c r="D1" s="39" t="s">
        <v>210</v>
      </c>
      <c r="E1" s="39" t="s">
        <v>1</v>
      </c>
      <c r="F1" s="39" t="s">
        <v>4</v>
      </c>
      <c r="G1" s="39" t="s">
        <v>229</v>
      </c>
      <c r="H1" s="39" t="s">
        <v>203</v>
      </c>
      <c r="I1" s="39" t="s">
        <v>230</v>
      </c>
      <c r="J1" s="40" t="s">
        <v>115</v>
      </c>
      <c r="K1" s="39" t="s">
        <v>231</v>
      </c>
      <c r="L1" s="39" t="s">
        <v>119</v>
      </c>
      <c r="M1" s="39" t="s">
        <v>228</v>
      </c>
      <c r="N1" s="40" t="s">
        <v>6</v>
      </c>
      <c r="O1" s="40" t="s">
        <v>221</v>
      </c>
      <c r="P1" s="40" t="s">
        <v>219</v>
      </c>
      <c r="Q1" s="41" t="s">
        <v>7</v>
      </c>
      <c r="R1" s="42" t="s">
        <v>9</v>
      </c>
      <c r="S1" s="42" t="s">
        <v>8</v>
      </c>
      <c r="T1" s="42" t="s">
        <v>2</v>
      </c>
      <c r="U1" s="41" t="s">
        <v>280</v>
      </c>
      <c r="V1" s="42" t="s">
        <v>218</v>
      </c>
      <c r="W1" s="39" t="s">
        <v>3</v>
      </c>
      <c r="X1" s="43" t="s">
        <v>127</v>
      </c>
    </row>
    <row r="2" spans="1:24" ht="20.149999999999999" customHeight="1" x14ac:dyDescent="0.35">
      <c r="A2" s="4" t="s">
        <v>10</v>
      </c>
      <c r="B2" s="4" t="str">
        <f xml:space="preserve"> TRIM(sales[[#This Row],[أسم العميل]])</f>
        <v>خالد عبد القوى</v>
      </c>
      <c r="C2" s="4" t="str">
        <f t="shared" ref="C2:C33" si="0">IF(OR(B2="شيك هومز", B2="تاكى", B2="اوسكار راتن", B2="هومزمارت"), "شركات", "افراد")</f>
        <v>افراد</v>
      </c>
      <c r="D2" s="4" t="s">
        <v>204</v>
      </c>
      <c r="E2" s="4" t="s">
        <v>11</v>
      </c>
      <c r="F2" s="4" t="s">
        <v>5</v>
      </c>
      <c r="G2" s="4" t="s">
        <v>94</v>
      </c>
      <c r="H2" s="4" t="s">
        <v>95</v>
      </c>
      <c r="I2" s="4"/>
      <c r="J2" s="4"/>
      <c r="K2" s="4" t="s">
        <v>108</v>
      </c>
      <c r="L2" s="4" t="s">
        <v>108</v>
      </c>
      <c r="M2" s="4" t="s">
        <v>253</v>
      </c>
      <c r="N2" s="12">
        <v>10160</v>
      </c>
      <c r="O2" s="12">
        <v>1</v>
      </c>
      <c r="P2" s="12">
        <v>10160</v>
      </c>
      <c r="Q2" s="25" t="s">
        <v>12</v>
      </c>
      <c r="R2" s="5">
        <v>45500</v>
      </c>
      <c r="S2" s="5">
        <f>15+R2</f>
        <v>45515</v>
      </c>
      <c r="T2" s="5">
        <v>45514</v>
      </c>
      <c r="U2" s="25" t="str">
        <f>IF(sales[[#This Row],[تاريخ التسليم]]&lt;=sales[[#This Row],[ميعاد التسليم]],"on time","late")</f>
        <v>on time</v>
      </c>
      <c r="V2" s="20">
        <f>T2-R2</f>
        <v>14</v>
      </c>
      <c r="W2" s="4" t="s">
        <v>216</v>
      </c>
      <c r="X2" s="35" t="s">
        <v>129</v>
      </c>
    </row>
    <row r="3" spans="1:24" ht="20.149999999999999" customHeight="1" x14ac:dyDescent="0.35">
      <c r="A3" s="4" t="s">
        <v>13</v>
      </c>
      <c r="B3" s="4" t="str">
        <f xml:space="preserve"> TRIM(sales[[#This Row],[أسم العميل]])</f>
        <v>محمود</v>
      </c>
      <c r="C3" s="4" t="str">
        <f t="shared" si="0"/>
        <v>افراد</v>
      </c>
      <c r="D3" s="4" t="s">
        <v>205</v>
      </c>
      <c r="E3" s="4" t="s">
        <v>14</v>
      </c>
      <c r="F3" s="4" t="s">
        <v>5</v>
      </c>
      <c r="G3" s="4" t="s">
        <v>94</v>
      </c>
      <c r="H3" s="4" t="s">
        <v>95</v>
      </c>
      <c r="I3" s="4"/>
      <c r="J3" s="4"/>
      <c r="K3" s="4" t="s">
        <v>109</v>
      </c>
      <c r="L3" s="4" t="s">
        <v>109</v>
      </c>
      <c r="M3" s="4" t="s">
        <v>267</v>
      </c>
      <c r="N3" s="12">
        <v>10160</v>
      </c>
      <c r="O3" s="12">
        <v>1</v>
      </c>
      <c r="P3" s="23">
        <v>9749</v>
      </c>
      <c r="Q3" s="26" t="s">
        <v>220</v>
      </c>
      <c r="R3" s="24">
        <v>45501</v>
      </c>
      <c r="S3" s="5">
        <f>20+R3</f>
        <v>45521</v>
      </c>
      <c r="T3" s="5">
        <v>45515</v>
      </c>
      <c r="U3" s="25" t="str">
        <f>IF(sales[[#This Row],[تاريخ التسليم]]&lt;=sales[[#This Row],[ميعاد التسليم]],"on time","late")</f>
        <v>on time</v>
      </c>
      <c r="V3" s="20">
        <f>T3-R3</f>
        <v>14</v>
      </c>
      <c r="W3" s="4" t="s">
        <v>216</v>
      </c>
      <c r="X3" s="35" t="s">
        <v>129</v>
      </c>
    </row>
    <row r="4" spans="1:24" ht="20.149999999999999" customHeight="1" x14ac:dyDescent="0.35">
      <c r="A4" s="7" t="s">
        <v>15</v>
      </c>
      <c r="B4" s="7" t="str">
        <f xml:space="preserve"> TRIM(sales[[#This Row],[أسم العميل]])</f>
        <v>سعيد</v>
      </c>
      <c r="C4" s="7" t="str">
        <f t="shared" si="0"/>
        <v>افراد</v>
      </c>
      <c r="D4" s="7" t="s">
        <v>290</v>
      </c>
      <c r="E4" s="7" t="s">
        <v>289</v>
      </c>
      <c r="F4" s="7" t="s">
        <v>5</v>
      </c>
      <c r="G4" s="7" t="s">
        <v>94</v>
      </c>
      <c r="H4" s="7" t="s">
        <v>106</v>
      </c>
      <c r="I4" s="7" t="s">
        <v>99</v>
      </c>
      <c r="J4" s="7">
        <v>90</v>
      </c>
      <c r="K4" s="7" t="s">
        <v>111</v>
      </c>
      <c r="L4" s="7"/>
      <c r="M4" s="7" t="s">
        <v>241</v>
      </c>
      <c r="N4" s="13">
        <v>11455</v>
      </c>
      <c r="O4" s="13">
        <v>1</v>
      </c>
      <c r="P4" s="21">
        <v>10067.68</v>
      </c>
      <c r="Q4" s="27" t="s">
        <v>220</v>
      </c>
      <c r="R4" s="6">
        <v>45500</v>
      </c>
      <c r="S4" s="6">
        <f>18+R4</f>
        <v>45518</v>
      </c>
      <c r="T4" s="6"/>
      <c r="U4" s="28" t="s">
        <v>281</v>
      </c>
      <c r="V4" s="21"/>
      <c r="W4" s="7" t="s">
        <v>214</v>
      </c>
      <c r="X4" s="36" t="s">
        <v>134</v>
      </c>
    </row>
    <row r="5" spans="1:24" ht="20.149999999999999" customHeight="1" x14ac:dyDescent="0.35">
      <c r="A5" s="4" t="s">
        <v>16</v>
      </c>
      <c r="B5" s="4" t="str">
        <f xml:space="preserve"> TRIM(sales[[#This Row],[أسم العميل]])</f>
        <v>ساندرا</v>
      </c>
      <c r="C5" s="4" t="str">
        <f t="shared" si="0"/>
        <v>افراد</v>
      </c>
      <c r="D5" s="4" t="s">
        <v>72</v>
      </c>
      <c r="E5" s="4" t="s">
        <v>72</v>
      </c>
      <c r="F5" s="4" t="s">
        <v>5</v>
      </c>
      <c r="G5" s="4" t="s">
        <v>186</v>
      </c>
      <c r="H5" s="4" t="s">
        <v>227</v>
      </c>
      <c r="I5" s="4"/>
      <c r="J5" s="4"/>
      <c r="K5" s="4"/>
      <c r="L5" s="4"/>
      <c r="M5" s="4" t="s">
        <v>17</v>
      </c>
      <c r="N5" s="12">
        <v>8642</v>
      </c>
      <c r="O5" s="12">
        <v>1</v>
      </c>
      <c r="P5" s="12">
        <v>0</v>
      </c>
      <c r="Q5" s="25" t="s">
        <v>12</v>
      </c>
      <c r="R5" s="5">
        <v>45529</v>
      </c>
      <c r="S5" s="5">
        <v>45542</v>
      </c>
      <c r="T5" s="5">
        <v>45531</v>
      </c>
      <c r="U5" s="25" t="str">
        <f>IF(sales[[#This Row],[تاريخ التسليم]]&lt;=sales[[#This Row],[ميعاد التسليم]],"on time","late")</f>
        <v>on time</v>
      </c>
      <c r="V5" s="20">
        <f>T5-R5</f>
        <v>2</v>
      </c>
      <c r="W5" s="4" t="s">
        <v>216</v>
      </c>
      <c r="X5" s="35" t="s">
        <v>129</v>
      </c>
    </row>
    <row r="6" spans="1:24" ht="20.149999999999999" customHeight="1" x14ac:dyDescent="0.35">
      <c r="A6" s="7" t="s">
        <v>18</v>
      </c>
      <c r="B6" s="7" t="str">
        <f xml:space="preserve"> TRIM(sales[[#This Row],[أسم العميل]])</f>
        <v>زينا</v>
      </c>
      <c r="C6" s="7" t="str">
        <f t="shared" si="0"/>
        <v>افراد</v>
      </c>
      <c r="D6" s="7" t="s">
        <v>290</v>
      </c>
      <c r="E6" s="7" t="s">
        <v>289</v>
      </c>
      <c r="F6" s="7" t="s">
        <v>5</v>
      </c>
      <c r="G6" s="7" t="s">
        <v>94</v>
      </c>
      <c r="H6" s="7" t="s">
        <v>106</v>
      </c>
      <c r="I6" s="7" t="s">
        <v>96</v>
      </c>
      <c r="J6" s="7">
        <v>100</v>
      </c>
      <c r="K6" s="7" t="s">
        <v>113</v>
      </c>
      <c r="L6" s="7"/>
      <c r="M6" s="7" t="s">
        <v>242</v>
      </c>
      <c r="N6" s="21">
        <v>12974.22</v>
      </c>
      <c r="O6" s="13">
        <v>1</v>
      </c>
      <c r="P6" s="21">
        <v>12974.22</v>
      </c>
      <c r="Q6" s="28" t="s">
        <v>12</v>
      </c>
      <c r="R6" s="6">
        <v>45520</v>
      </c>
      <c r="S6" s="6">
        <v>45535</v>
      </c>
      <c r="T6" s="6"/>
      <c r="U6" s="28" t="s">
        <v>281</v>
      </c>
      <c r="V6" s="21"/>
      <c r="W6" s="7" t="s">
        <v>214</v>
      </c>
      <c r="X6" s="36" t="s">
        <v>134</v>
      </c>
    </row>
    <row r="7" spans="1:24" ht="20.149999999999999" customHeight="1" x14ac:dyDescent="0.35">
      <c r="A7" s="4" t="s">
        <v>31</v>
      </c>
      <c r="B7" s="4" t="str">
        <f xml:space="preserve"> TRIM(sales[[#This Row],[أسم العميل]])</f>
        <v>شيك هومز</v>
      </c>
      <c r="C7" s="4" t="str">
        <f t="shared" si="0"/>
        <v>شركات</v>
      </c>
      <c r="D7" s="4" t="s">
        <v>206</v>
      </c>
      <c r="E7" s="4"/>
      <c r="F7" s="4" t="s">
        <v>31</v>
      </c>
      <c r="G7" s="4" t="s">
        <v>107</v>
      </c>
      <c r="H7" s="4" t="s">
        <v>105</v>
      </c>
      <c r="I7" s="4"/>
      <c r="J7" s="4"/>
      <c r="K7" s="4" t="s">
        <v>113</v>
      </c>
      <c r="L7" s="4" t="s">
        <v>113</v>
      </c>
      <c r="M7" s="4" t="s">
        <v>243</v>
      </c>
      <c r="N7" s="12">
        <v>14550</v>
      </c>
      <c r="O7" s="12">
        <v>4</v>
      </c>
      <c r="P7" s="12">
        <v>14550</v>
      </c>
      <c r="Q7" s="25" t="s">
        <v>12</v>
      </c>
      <c r="R7" s="5">
        <v>45518</v>
      </c>
      <c r="S7" s="5">
        <v>45538</v>
      </c>
      <c r="T7" s="5">
        <v>45540</v>
      </c>
      <c r="U7" s="25" t="str">
        <f>IF(sales[[#This Row],[تاريخ التسليم]]&lt;=sales[[#This Row],[ميعاد التسليم]],"on time","late")</f>
        <v>late</v>
      </c>
      <c r="V7" s="20">
        <f>T7-R7</f>
        <v>22</v>
      </c>
      <c r="W7" s="4" t="s">
        <v>216</v>
      </c>
      <c r="X7" s="35" t="s">
        <v>129</v>
      </c>
    </row>
    <row r="8" spans="1:24" ht="20.149999999999999" customHeight="1" x14ac:dyDescent="0.35">
      <c r="A8" s="4" t="s">
        <v>19</v>
      </c>
      <c r="B8" s="4" t="str">
        <f xml:space="preserve"> TRIM(sales[[#This Row],[أسم العميل]])</f>
        <v>احمد</v>
      </c>
      <c r="C8" s="4" t="str">
        <f t="shared" si="0"/>
        <v>افراد</v>
      </c>
      <c r="D8" s="4" t="s">
        <v>206</v>
      </c>
      <c r="E8" s="4" t="s">
        <v>20</v>
      </c>
      <c r="F8" s="4" t="s">
        <v>21</v>
      </c>
      <c r="G8" s="4" t="s">
        <v>107</v>
      </c>
      <c r="H8" s="4" t="s">
        <v>105</v>
      </c>
      <c r="I8" s="4"/>
      <c r="J8" s="4"/>
      <c r="K8" s="4" t="s">
        <v>113</v>
      </c>
      <c r="L8" s="4" t="s">
        <v>113</v>
      </c>
      <c r="M8" s="4" t="s">
        <v>243</v>
      </c>
      <c r="N8" s="12">
        <v>12000</v>
      </c>
      <c r="O8" s="12">
        <v>4</v>
      </c>
      <c r="P8" s="20">
        <v>12000</v>
      </c>
      <c r="Q8" s="25" t="s">
        <v>12</v>
      </c>
      <c r="R8" s="5">
        <v>45521</v>
      </c>
      <c r="S8" s="5">
        <v>45524</v>
      </c>
      <c r="T8" s="5">
        <v>45523</v>
      </c>
      <c r="U8" s="25" t="str">
        <f>IF(sales[[#This Row],[تاريخ التسليم]]&lt;=sales[[#This Row],[ميعاد التسليم]],"on time","late")</f>
        <v>on time</v>
      </c>
      <c r="V8" s="20">
        <f>T8-R8</f>
        <v>2</v>
      </c>
      <c r="W8" s="4" t="s">
        <v>213</v>
      </c>
      <c r="X8" s="35" t="s">
        <v>129</v>
      </c>
    </row>
    <row r="9" spans="1:24" ht="20.149999999999999" customHeight="1" x14ac:dyDescent="0.35">
      <c r="A9" s="4" t="s">
        <v>22</v>
      </c>
      <c r="B9" s="4" t="str">
        <f xml:space="preserve"> TRIM(sales[[#This Row],[أسم العميل]])</f>
        <v>yilmaz</v>
      </c>
      <c r="C9" s="4" t="str">
        <f t="shared" si="0"/>
        <v>افراد</v>
      </c>
      <c r="D9" s="4" t="s">
        <v>206</v>
      </c>
      <c r="E9" s="4" t="s">
        <v>23</v>
      </c>
      <c r="F9" s="4" t="s">
        <v>5</v>
      </c>
      <c r="G9" s="4" t="s">
        <v>94</v>
      </c>
      <c r="H9" s="4" t="s">
        <v>97</v>
      </c>
      <c r="I9" s="4"/>
      <c r="J9" s="4"/>
      <c r="K9" s="4" t="s">
        <v>108</v>
      </c>
      <c r="L9" s="4"/>
      <c r="M9" s="4" t="s">
        <v>254</v>
      </c>
      <c r="N9" s="12">
        <v>7228</v>
      </c>
      <c r="O9" s="12">
        <v>1</v>
      </c>
      <c r="P9" s="12">
        <v>7228</v>
      </c>
      <c r="Q9" s="25" t="s">
        <v>12</v>
      </c>
      <c r="R9" s="5">
        <v>45529</v>
      </c>
      <c r="S9" s="5">
        <v>45538</v>
      </c>
      <c r="T9" s="5">
        <v>45545</v>
      </c>
      <c r="U9" s="25" t="str">
        <f>IF(sales[[#This Row],[تاريخ التسليم]]&lt;=sales[[#This Row],[ميعاد التسليم]],"on time","late")</f>
        <v>late</v>
      </c>
      <c r="V9" s="20">
        <f>T9-R9</f>
        <v>16</v>
      </c>
      <c r="W9" s="4" t="s">
        <v>216</v>
      </c>
      <c r="X9" s="35" t="s">
        <v>129</v>
      </c>
    </row>
    <row r="10" spans="1:24" ht="20.149999999999999" customHeight="1" x14ac:dyDescent="0.35">
      <c r="A10" s="4" t="s">
        <v>25</v>
      </c>
      <c r="B10" s="4" t="str">
        <f xml:space="preserve"> TRIM(sales[[#This Row],[أسم العميل]])</f>
        <v>تاكى</v>
      </c>
      <c r="C10" s="4" t="str">
        <f t="shared" si="0"/>
        <v>شركات</v>
      </c>
      <c r="D10" s="4" t="s">
        <v>206</v>
      </c>
      <c r="E10" s="4" t="s">
        <v>24</v>
      </c>
      <c r="F10" s="4" t="s">
        <v>25</v>
      </c>
      <c r="G10" s="4" t="s">
        <v>102</v>
      </c>
      <c r="H10" s="4"/>
      <c r="I10" s="4"/>
      <c r="J10" s="4"/>
      <c r="K10" s="4"/>
      <c r="L10" s="4"/>
      <c r="M10" s="4" t="s">
        <v>102</v>
      </c>
      <c r="N10" s="12">
        <v>7228</v>
      </c>
      <c r="O10" s="12">
        <v>1</v>
      </c>
      <c r="P10" s="12">
        <v>7228</v>
      </c>
      <c r="Q10" s="25" t="s">
        <v>12</v>
      </c>
      <c r="R10" s="5">
        <v>45523</v>
      </c>
      <c r="S10" s="5">
        <v>45536</v>
      </c>
      <c r="T10" s="5">
        <v>45552</v>
      </c>
      <c r="U10" s="25" t="str">
        <f>IF(sales[[#This Row],[تاريخ التسليم]]&lt;=sales[[#This Row],[ميعاد التسليم]],"on time","late")</f>
        <v>late</v>
      </c>
      <c r="V10" s="20">
        <f>T10-R10</f>
        <v>29</v>
      </c>
      <c r="W10" s="4" t="s">
        <v>214</v>
      </c>
      <c r="X10" s="35" t="s">
        <v>129</v>
      </c>
    </row>
    <row r="11" spans="1:24" ht="20.149999999999999" customHeight="1" x14ac:dyDescent="0.35">
      <c r="A11" s="2" t="s">
        <v>25</v>
      </c>
      <c r="B11" s="2" t="str">
        <f xml:space="preserve"> TRIM(sales[[#This Row],[أسم العميل]])</f>
        <v>تاكى</v>
      </c>
      <c r="C11" s="2" t="str">
        <f t="shared" si="0"/>
        <v>شركات</v>
      </c>
      <c r="D11" s="2" t="s">
        <v>206</v>
      </c>
      <c r="E11" s="2" t="s">
        <v>24</v>
      </c>
      <c r="F11" s="2" t="s">
        <v>25</v>
      </c>
      <c r="G11" s="2" t="s">
        <v>107</v>
      </c>
      <c r="H11" s="2" t="s">
        <v>101</v>
      </c>
      <c r="I11" s="2"/>
      <c r="J11" s="2"/>
      <c r="K11" s="2"/>
      <c r="L11" s="2"/>
      <c r="M11" s="2" t="s">
        <v>26</v>
      </c>
      <c r="N11" s="11">
        <v>16000</v>
      </c>
      <c r="O11" s="11">
        <v>2</v>
      </c>
      <c r="P11" s="22">
        <v>16000</v>
      </c>
      <c r="Q11" s="29" t="s">
        <v>12</v>
      </c>
      <c r="R11" s="3"/>
      <c r="S11" s="3"/>
      <c r="T11" s="3"/>
      <c r="U11" s="28" t="s">
        <v>281</v>
      </c>
      <c r="V11" s="22"/>
      <c r="W11" s="2" t="s">
        <v>214</v>
      </c>
      <c r="X11" s="37" t="s">
        <v>134</v>
      </c>
    </row>
    <row r="12" spans="1:24" ht="20.149999999999999" customHeight="1" x14ac:dyDescent="0.35">
      <c r="A12" s="4" t="s">
        <v>25</v>
      </c>
      <c r="B12" s="4" t="str">
        <f xml:space="preserve"> TRIM(sales[[#This Row],[أسم العميل]])</f>
        <v>تاكى</v>
      </c>
      <c r="C12" s="4" t="str">
        <f t="shared" si="0"/>
        <v>شركات</v>
      </c>
      <c r="D12" s="4" t="s">
        <v>206</v>
      </c>
      <c r="E12" s="4" t="s">
        <v>27</v>
      </c>
      <c r="F12" s="4" t="s">
        <v>25</v>
      </c>
      <c r="G12" s="4" t="s">
        <v>107</v>
      </c>
      <c r="H12" s="4" t="s">
        <v>101</v>
      </c>
      <c r="I12" s="4"/>
      <c r="J12" s="4"/>
      <c r="K12" s="4"/>
      <c r="L12" s="4"/>
      <c r="M12" s="4" t="s">
        <v>28</v>
      </c>
      <c r="N12" s="20">
        <v>12000</v>
      </c>
      <c r="O12" s="12">
        <v>2</v>
      </c>
      <c r="P12" s="12">
        <v>6000</v>
      </c>
      <c r="Q12" s="30" t="s">
        <v>220</v>
      </c>
      <c r="R12" s="5">
        <v>45529</v>
      </c>
      <c r="S12" s="5">
        <v>45550</v>
      </c>
      <c r="T12" s="5">
        <v>45552</v>
      </c>
      <c r="U12" s="25" t="str">
        <f>IF(sales[[#This Row],[تاريخ التسليم]]&lt;=sales[[#This Row],[ميعاد التسليم]],"on time","late")</f>
        <v>late</v>
      </c>
      <c r="V12" s="20">
        <f>T12-R12</f>
        <v>23</v>
      </c>
      <c r="W12" s="4" t="s">
        <v>214</v>
      </c>
      <c r="X12" s="35" t="s">
        <v>129</v>
      </c>
    </row>
    <row r="13" spans="1:24" ht="20.149999999999999" customHeight="1" x14ac:dyDescent="0.35">
      <c r="A13" s="4" t="s">
        <v>25</v>
      </c>
      <c r="B13" s="4" t="str">
        <f xml:space="preserve"> TRIM(sales[[#This Row],[أسم العميل]])</f>
        <v>تاكى</v>
      </c>
      <c r="C13" s="4" t="str">
        <f t="shared" si="0"/>
        <v>شركات</v>
      </c>
      <c r="D13" s="4" t="s">
        <v>206</v>
      </c>
      <c r="E13" s="4" t="s">
        <v>27</v>
      </c>
      <c r="F13" s="4" t="s">
        <v>25</v>
      </c>
      <c r="G13" s="4" t="s">
        <v>107</v>
      </c>
      <c r="H13" s="4" t="s">
        <v>101</v>
      </c>
      <c r="I13" s="4"/>
      <c r="J13" s="4"/>
      <c r="K13" s="4"/>
      <c r="L13" s="4"/>
      <c r="M13" s="4" t="s">
        <v>28</v>
      </c>
      <c r="N13" s="20">
        <v>12000</v>
      </c>
      <c r="O13" s="12">
        <v>2</v>
      </c>
      <c r="P13" s="12">
        <v>0</v>
      </c>
      <c r="Q13" s="25" t="s">
        <v>222</v>
      </c>
      <c r="R13" s="5">
        <v>45529</v>
      </c>
      <c r="S13" s="5">
        <v>45550</v>
      </c>
      <c r="T13" s="5">
        <v>45552</v>
      </c>
      <c r="U13" s="25" t="str">
        <f>IF(sales[[#This Row],[تاريخ التسليم]]&lt;=sales[[#This Row],[ميعاد التسليم]],"on time","late")</f>
        <v>late</v>
      </c>
      <c r="V13" s="20">
        <f>T13-R13</f>
        <v>23</v>
      </c>
      <c r="W13" s="4" t="s">
        <v>214</v>
      </c>
      <c r="X13" s="35" t="s">
        <v>129</v>
      </c>
    </row>
    <row r="14" spans="1:24" ht="20.149999999999999" customHeight="1" x14ac:dyDescent="0.35">
      <c r="A14" s="4" t="s">
        <v>29</v>
      </c>
      <c r="B14" s="4" t="str">
        <f xml:space="preserve"> TRIM(sales[[#This Row],[أسم العميل]])</f>
        <v>على رشوان</v>
      </c>
      <c r="C14" s="4" t="str">
        <f t="shared" si="0"/>
        <v>افراد</v>
      </c>
      <c r="D14" s="4" t="s">
        <v>206</v>
      </c>
      <c r="E14" s="4" t="s">
        <v>30</v>
      </c>
      <c r="F14" s="4" t="s">
        <v>5</v>
      </c>
      <c r="G14" s="4" t="s">
        <v>94</v>
      </c>
      <c r="H14" s="4" t="s">
        <v>106</v>
      </c>
      <c r="I14" s="4" t="s">
        <v>96</v>
      </c>
      <c r="J14" s="4">
        <v>80</v>
      </c>
      <c r="K14" s="4" t="s">
        <v>108</v>
      </c>
      <c r="L14" s="4"/>
      <c r="M14" s="4" t="s">
        <v>255</v>
      </c>
      <c r="N14" s="12">
        <v>10499</v>
      </c>
      <c r="O14" s="12">
        <v>1</v>
      </c>
      <c r="P14" s="20">
        <v>8924</v>
      </c>
      <c r="Q14" s="30" t="s">
        <v>220</v>
      </c>
      <c r="R14" s="5">
        <v>45536</v>
      </c>
      <c r="S14" s="5">
        <v>45551</v>
      </c>
      <c r="T14" s="5">
        <v>45543</v>
      </c>
      <c r="U14" s="25" t="str">
        <f>IF(sales[[#This Row],[تاريخ التسليم]]&lt;=sales[[#This Row],[ميعاد التسليم]],"on time","late")</f>
        <v>on time</v>
      </c>
      <c r="V14" s="20">
        <f>T14-R14</f>
        <v>7</v>
      </c>
      <c r="W14" s="4" t="s">
        <v>216</v>
      </c>
      <c r="X14" s="35" t="s">
        <v>129</v>
      </c>
    </row>
    <row r="15" spans="1:24" ht="20.149999999999999" customHeight="1" x14ac:dyDescent="0.35">
      <c r="A15" s="2" t="s">
        <v>41</v>
      </c>
      <c r="B15" s="2" t="str">
        <f xml:space="preserve"> TRIM(sales[[#This Row],[أسم العميل]])</f>
        <v>احمد فخرى</v>
      </c>
      <c r="C15" s="2" t="str">
        <f t="shared" si="0"/>
        <v>افراد</v>
      </c>
      <c r="D15" s="2" t="s">
        <v>204</v>
      </c>
      <c r="E15" s="2" t="s">
        <v>23</v>
      </c>
      <c r="F15" s="2" t="s">
        <v>5</v>
      </c>
      <c r="G15" s="2" t="s">
        <v>94</v>
      </c>
      <c r="H15" s="2" t="s">
        <v>97</v>
      </c>
      <c r="I15" s="2" t="s">
        <v>96</v>
      </c>
      <c r="J15" s="2">
        <v>80</v>
      </c>
      <c r="K15" s="2" t="s">
        <v>108</v>
      </c>
      <c r="L15" s="2"/>
      <c r="M15" s="2" t="s">
        <v>256</v>
      </c>
      <c r="N15" s="11">
        <v>7295</v>
      </c>
      <c r="O15" s="11">
        <v>1</v>
      </c>
      <c r="P15" s="22">
        <v>5895</v>
      </c>
      <c r="Q15" s="31" t="s">
        <v>220</v>
      </c>
      <c r="R15" s="3">
        <v>45540</v>
      </c>
      <c r="S15" s="3">
        <v>45549</v>
      </c>
      <c r="T15" s="3"/>
      <c r="U15" s="28" t="s">
        <v>281</v>
      </c>
      <c r="V15" s="22"/>
      <c r="W15" s="2" t="s">
        <v>214</v>
      </c>
      <c r="X15" s="37" t="s">
        <v>134</v>
      </c>
    </row>
    <row r="16" spans="1:24" ht="20.149999999999999" customHeight="1" x14ac:dyDescent="0.35">
      <c r="A16" s="7" t="s">
        <v>37</v>
      </c>
      <c r="B16" s="7" t="str">
        <f xml:space="preserve"> TRIM(sales[[#This Row],[أسم العميل]])</f>
        <v>لينا</v>
      </c>
      <c r="C16" s="7" t="str">
        <f t="shared" si="0"/>
        <v>افراد</v>
      </c>
      <c r="D16" s="7" t="s">
        <v>206</v>
      </c>
      <c r="E16" s="7" t="s">
        <v>38</v>
      </c>
      <c r="F16" s="7" t="s">
        <v>5</v>
      </c>
      <c r="G16" s="7" t="s">
        <v>186</v>
      </c>
      <c r="H16" s="7" t="s">
        <v>124</v>
      </c>
      <c r="I16" s="7"/>
      <c r="J16" s="7"/>
      <c r="K16" s="7"/>
      <c r="L16" s="7"/>
      <c r="M16" s="7" t="s">
        <v>39</v>
      </c>
      <c r="N16" s="13">
        <v>7849</v>
      </c>
      <c r="O16" s="13">
        <v>1</v>
      </c>
      <c r="P16" s="13">
        <v>7849</v>
      </c>
      <c r="Q16" s="28" t="s">
        <v>12</v>
      </c>
      <c r="R16" s="6">
        <v>45539</v>
      </c>
      <c r="S16" s="6">
        <v>45551</v>
      </c>
      <c r="T16" s="6"/>
      <c r="U16" s="28" t="s">
        <v>281</v>
      </c>
      <c r="V16" s="21"/>
      <c r="W16" s="7" t="s">
        <v>213</v>
      </c>
      <c r="X16" s="36" t="s">
        <v>134</v>
      </c>
    </row>
    <row r="17" spans="1:24" ht="20.149999999999999" customHeight="1" x14ac:dyDescent="0.35">
      <c r="A17" s="4" t="s">
        <v>32</v>
      </c>
      <c r="B17" s="4" t="str">
        <f xml:space="preserve"> TRIM(sales[[#This Row],[أسم العميل]])</f>
        <v>فيصل نعيم</v>
      </c>
      <c r="C17" s="4" t="str">
        <f t="shared" si="0"/>
        <v>افراد</v>
      </c>
      <c r="D17" s="4" t="s">
        <v>206</v>
      </c>
      <c r="E17" s="4" t="s">
        <v>33</v>
      </c>
      <c r="F17" s="4" t="s">
        <v>34</v>
      </c>
      <c r="G17" s="4" t="s">
        <v>94</v>
      </c>
      <c r="H17" s="4" t="s">
        <v>106</v>
      </c>
      <c r="I17" s="4" t="s">
        <v>99</v>
      </c>
      <c r="J17" s="4">
        <v>120</v>
      </c>
      <c r="K17" s="4" t="s">
        <v>109</v>
      </c>
      <c r="L17" s="4"/>
      <c r="M17" s="4" t="s">
        <v>268</v>
      </c>
      <c r="N17" s="20">
        <v>9700</v>
      </c>
      <c r="O17" s="12">
        <v>2</v>
      </c>
      <c r="P17" s="12">
        <v>0</v>
      </c>
      <c r="Q17" s="25" t="s">
        <v>222</v>
      </c>
      <c r="R17" s="5">
        <v>45538</v>
      </c>
      <c r="S17" s="5">
        <v>45551</v>
      </c>
      <c r="T17" s="5">
        <v>45550</v>
      </c>
      <c r="U17" s="25" t="str">
        <f>IF(sales[[#This Row],[تاريخ التسليم]]&lt;=sales[[#This Row],[ميعاد التسليم]],"on time","late")</f>
        <v>on time</v>
      </c>
      <c r="V17" s="20">
        <f>T17-R17</f>
        <v>12</v>
      </c>
      <c r="W17" s="4" t="s">
        <v>214</v>
      </c>
      <c r="X17" s="35" t="s">
        <v>129</v>
      </c>
    </row>
    <row r="18" spans="1:24" ht="20.149999999999999" customHeight="1" x14ac:dyDescent="0.35">
      <c r="A18" s="2" t="s">
        <v>35</v>
      </c>
      <c r="B18" s="2" t="str">
        <f xml:space="preserve"> TRIM(sales[[#This Row],[أسم العميل]])</f>
        <v>ellho elkafy</v>
      </c>
      <c r="C18" s="2" t="str">
        <f t="shared" si="0"/>
        <v>افراد</v>
      </c>
      <c r="D18" s="2" t="s">
        <v>206</v>
      </c>
      <c r="E18" s="2" t="s">
        <v>36</v>
      </c>
      <c r="F18" s="2" t="s">
        <v>5</v>
      </c>
      <c r="G18" s="2" t="s">
        <v>94</v>
      </c>
      <c r="H18" s="2" t="s">
        <v>106</v>
      </c>
      <c r="I18" s="2" t="s">
        <v>98</v>
      </c>
      <c r="J18" s="2">
        <v>80</v>
      </c>
      <c r="K18" s="2" t="s">
        <v>108</v>
      </c>
      <c r="L18" s="2"/>
      <c r="M18" s="2" t="s">
        <v>257</v>
      </c>
      <c r="N18" s="11">
        <v>11199</v>
      </c>
      <c r="O18" s="11">
        <v>1</v>
      </c>
      <c r="P18" s="11">
        <v>0</v>
      </c>
      <c r="Q18" s="29" t="s">
        <v>222</v>
      </c>
      <c r="R18" s="3">
        <v>45539</v>
      </c>
      <c r="S18" s="3">
        <v>45553</v>
      </c>
      <c r="T18" s="3"/>
      <c r="U18" s="28" t="s">
        <v>281</v>
      </c>
      <c r="V18" s="22"/>
      <c r="W18" s="2" t="s">
        <v>214</v>
      </c>
      <c r="X18" s="37" t="s">
        <v>134</v>
      </c>
    </row>
    <row r="19" spans="1:24" ht="20.149999999999999" customHeight="1" x14ac:dyDescent="0.35">
      <c r="A19" s="4" t="s">
        <v>19</v>
      </c>
      <c r="B19" s="4" t="str">
        <f xml:space="preserve"> TRIM(sales[[#This Row],[أسم العميل]])</f>
        <v>احمد</v>
      </c>
      <c r="C19" s="4" t="str">
        <f t="shared" si="0"/>
        <v>افراد</v>
      </c>
      <c r="D19" s="4" t="s">
        <v>206</v>
      </c>
      <c r="E19" s="4" t="s">
        <v>42</v>
      </c>
      <c r="F19" s="4" t="s">
        <v>5</v>
      </c>
      <c r="G19" s="4" t="s">
        <v>94</v>
      </c>
      <c r="H19" s="4" t="s">
        <v>97</v>
      </c>
      <c r="I19" s="4" t="s">
        <v>117</v>
      </c>
      <c r="J19" s="4">
        <v>80</v>
      </c>
      <c r="K19" s="4" t="s">
        <v>108</v>
      </c>
      <c r="L19" s="4"/>
      <c r="M19" s="4" t="s">
        <v>258</v>
      </c>
      <c r="N19" s="12">
        <v>7987</v>
      </c>
      <c r="O19" s="12">
        <v>4</v>
      </c>
      <c r="P19" s="12">
        <v>7987</v>
      </c>
      <c r="Q19" s="25" t="s">
        <v>12</v>
      </c>
      <c r="R19" s="5">
        <v>45541</v>
      </c>
      <c r="S19" s="5">
        <v>45551</v>
      </c>
      <c r="T19" s="5">
        <v>45556</v>
      </c>
      <c r="U19" s="25" t="str">
        <f>IF(sales[[#This Row],[تاريخ التسليم]]&lt;=sales[[#This Row],[ميعاد التسليم]],"on time","late")</f>
        <v>late</v>
      </c>
      <c r="V19" s="20">
        <f>T19-R19</f>
        <v>15</v>
      </c>
      <c r="W19" s="4" t="s">
        <v>214</v>
      </c>
      <c r="X19" s="35" t="s">
        <v>129</v>
      </c>
    </row>
    <row r="20" spans="1:24" ht="20.149999999999999" customHeight="1" x14ac:dyDescent="0.35">
      <c r="A20" s="4" t="s">
        <v>25</v>
      </c>
      <c r="B20" s="4" t="str">
        <f xml:space="preserve"> TRIM(sales[[#This Row],[أسم العميل]])</f>
        <v>تاكى</v>
      </c>
      <c r="C20" s="4" t="str">
        <f t="shared" si="0"/>
        <v>شركات</v>
      </c>
      <c r="D20" s="4" t="s">
        <v>206</v>
      </c>
      <c r="E20" s="4" t="s">
        <v>24</v>
      </c>
      <c r="F20" s="4" t="s">
        <v>25</v>
      </c>
      <c r="G20" s="4" t="s">
        <v>104</v>
      </c>
      <c r="H20" s="4" t="s">
        <v>139</v>
      </c>
      <c r="I20" s="4"/>
      <c r="J20" s="4"/>
      <c r="K20" s="4"/>
      <c r="L20" s="4"/>
      <c r="M20" s="4" t="s">
        <v>40</v>
      </c>
      <c r="N20" s="12">
        <v>9300</v>
      </c>
      <c r="O20" s="12">
        <v>2</v>
      </c>
      <c r="P20" s="12">
        <v>0</v>
      </c>
      <c r="Q20" s="25" t="s">
        <v>222</v>
      </c>
      <c r="R20" s="5">
        <v>45539</v>
      </c>
      <c r="S20" s="5">
        <v>45550</v>
      </c>
      <c r="T20" s="5">
        <v>45552</v>
      </c>
      <c r="U20" s="25" t="str">
        <f>IF(sales[[#This Row],[تاريخ التسليم]]&lt;=sales[[#This Row],[ميعاد التسليم]],"on time","late")</f>
        <v>late</v>
      </c>
      <c r="V20" s="20">
        <f>T20-R20</f>
        <v>13</v>
      </c>
      <c r="W20" s="4" t="s">
        <v>214</v>
      </c>
      <c r="X20" s="35" t="s">
        <v>129</v>
      </c>
    </row>
    <row r="21" spans="1:24" ht="20.149999999999999" customHeight="1" x14ac:dyDescent="0.35">
      <c r="A21" s="2" t="s">
        <v>65</v>
      </c>
      <c r="B21" s="2" t="str">
        <f xml:space="preserve"> TRIM(sales[[#This Row],[أسم العميل]])</f>
        <v>صفاء</v>
      </c>
      <c r="C21" s="2" t="str">
        <f t="shared" si="0"/>
        <v>افراد</v>
      </c>
      <c r="D21" s="2" t="s">
        <v>206</v>
      </c>
      <c r="E21" s="2" t="s">
        <v>66</v>
      </c>
      <c r="F21" s="2" t="s">
        <v>5</v>
      </c>
      <c r="G21" s="2" t="s">
        <v>186</v>
      </c>
      <c r="H21" s="2" t="s">
        <v>124</v>
      </c>
      <c r="I21" s="2"/>
      <c r="J21" s="2"/>
      <c r="K21" s="2"/>
      <c r="L21" s="2"/>
      <c r="M21" s="2" t="s">
        <v>39</v>
      </c>
      <c r="N21" s="11">
        <v>8849</v>
      </c>
      <c r="O21" s="11">
        <v>1</v>
      </c>
      <c r="P21" s="11">
        <v>8849</v>
      </c>
      <c r="Q21" s="29" t="s">
        <v>12</v>
      </c>
      <c r="R21" s="3">
        <v>45538</v>
      </c>
      <c r="S21" s="3">
        <v>45581</v>
      </c>
      <c r="T21" s="3"/>
      <c r="U21" s="28" t="s">
        <v>281</v>
      </c>
      <c r="V21" s="22"/>
      <c r="W21" s="2" t="s">
        <v>214</v>
      </c>
      <c r="X21" s="37" t="s">
        <v>134</v>
      </c>
    </row>
    <row r="22" spans="1:24" ht="20.149999999999999" customHeight="1" x14ac:dyDescent="0.35">
      <c r="A22" s="4" t="s">
        <v>43</v>
      </c>
      <c r="B22" s="4" t="str">
        <f xml:space="preserve"> TRIM(sales[[#This Row],[أسم العميل]])</f>
        <v>حسن حازم</v>
      </c>
      <c r="C22" s="4" t="str">
        <f t="shared" si="0"/>
        <v>افراد</v>
      </c>
      <c r="D22" s="4" t="s">
        <v>204</v>
      </c>
      <c r="E22" s="4" t="s">
        <v>23</v>
      </c>
      <c r="F22" s="4" t="s">
        <v>5</v>
      </c>
      <c r="G22" s="4" t="s">
        <v>94</v>
      </c>
      <c r="H22" s="4" t="s">
        <v>97</v>
      </c>
      <c r="I22" s="4" t="s">
        <v>100</v>
      </c>
      <c r="J22" s="4">
        <v>120</v>
      </c>
      <c r="K22" s="4" t="s">
        <v>108</v>
      </c>
      <c r="L22" s="4"/>
      <c r="M22" s="4" t="s">
        <v>259</v>
      </c>
      <c r="N22" s="12">
        <v>10987</v>
      </c>
      <c r="O22" s="12">
        <v>1</v>
      </c>
      <c r="P22" s="12">
        <v>10987</v>
      </c>
      <c r="Q22" s="25" t="s">
        <v>12</v>
      </c>
      <c r="R22" s="5">
        <v>45544</v>
      </c>
      <c r="S22" s="5">
        <v>45552</v>
      </c>
      <c r="T22" s="5">
        <v>45556</v>
      </c>
      <c r="U22" s="25" t="str">
        <f>IF(sales[[#This Row],[تاريخ التسليم]]&lt;=sales[[#This Row],[ميعاد التسليم]],"on time","late")</f>
        <v>late</v>
      </c>
      <c r="V22" s="20">
        <f>T22-R22</f>
        <v>12</v>
      </c>
      <c r="W22" s="4" t="s">
        <v>214</v>
      </c>
      <c r="X22" s="35" t="s">
        <v>129</v>
      </c>
    </row>
    <row r="23" spans="1:24" ht="20.149999999999999" customHeight="1" x14ac:dyDescent="0.35">
      <c r="A23" s="4" t="s">
        <v>31</v>
      </c>
      <c r="B23" s="4" t="str">
        <f xml:space="preserve"> TRIM(sales[[#This Row],[أسم العميل]])</f>
        <v>شيك هومز</v>
      </c>
      <c r="C23" s="4" t="str">
        <f t="shared" si="0"/>
        <v>شركات</v>
      </c>
      <c r="D23" s="4" t="s">
        <v>206</v>
      </c>
      <c r="E23" s="4"/>
      <c r="F23" s="4" t="s">
        <v>31</v>
      </c>
      <c r="G23" s="4" t="s">
        <v>94</v>
      </c>
      <c r="H23" s="4" t="s">
        <v>106</v>
      </c>
      <c r="I23" s="4" t="s">
        <v>98</v>
      </c>
      <c r="J23" s="4">
        <v>100</v>
      </c>
      <c r="K23" s="4" t="s">
        <v>108</v>
      </c>
      <c r="L23" s="4"/>
      <c r="M23" s="4" t="s">
        <v>260</v>
      </c>
      <c r="N23" s="12">
        <v>9208</v>
      </c>
      <c r="O23" s="12">
        <v>1</v>
      </c>
      <c r="P23" s="20">
        <v>5781.75</v>
      </c>
      <c r="Q23" s="30" t="s">
        <v>220</v>
      </c>
      <c r="R23" s="5">
        <v>45536</v>
      </c>
      <c r="S23" s="5">
        <v>45554</v>
      </c>
      <c r="T23" s="5">
        <v>45556</v>
      </c>
      <c r="U23" s="25" t="str">
        <f>IF(sales[[#This Row],[تاريخ التسليم]]&lt;=sales[[#This Row],[ميعاد التسليم]],"on time","late")</f>
        <v>late</v>
      </c>
      <c r="V23" s="20">
        <f>T23-R23</f>
        <v>20</v>
      </c>
      <c r="W23" s="4" t="s">
        <v>214</v>
      </c>
      <c r="X23" s="35" t="s">
        <v>129</v>
      </c>
    </row>
    <row r="24" spans="1:24" ht="20.149999999999999" customHeight="1" x14ac:dyDescent="0.35">
      <c r="A24" s="4" t="s">
        <v>31</v>
      </c>
      <c r="B24" s="4" t="str">
        <f xml:space="preserve"> TRIM(sales[[#This Row],[أسم العميل]])</f>
        <v>شيك هومز</v>
      </c>
      <c r="C24" s="4" t="str">
        <f t="shared" si="0"/>
        <v>شركات</v>
      </c>
      <c r="D24" s="4" t="s">
        <v>206</v>
      </c>
      <c r="E24" s="4"/>
      <c r="F24" s="4" t="s">
        <v>31</v>
      </c>
      <c r="G24" s="4" t="s">
        <v>94</v>
      </c>
      <c r="H24" s="4" t="s">
        <v>106</v>
      </c>
      <c r="I24" s="4" t="s">
        <v>98</v>
      </c>
      <c r="J24" s="4">
        <v>100</v>
      </c>
      <c r="K24" s="4" t="s">
        <v>109</v>
      </c>
      <c r="L24" s="4"/>
      <c r="M24" s="4" t="s">
        <v>269</v>
      </c>
      <c r="N24" s="12">
        <v>9208</v>
      </c>
      <c r="O24" s="12">
        <v>1</v>
      </c>
      <c r="P24" s="20">
        <v>1278.53</v>
      </c>
      <c r="Q24" s="30" t="s">
        <v>220</v>
      </c>
      <c r="R24" s="5">
        <v>45536</v>
      </c>
      <c r="S24" s="5">
        <v>45554</v>
      </c>
      <c r="T24" s="5">
        <v>45556</v>
      </c>
      <c r="U24" s="25" t="str">
        <f>IF(sales[[#This Row],[تاريخ التسليم]]&lt;=sales[[#This Row],[ميعاد التسليم]],"on time","late")</f>
        <v>late</v>
      </c>
      <c r="V24" s="20">
        <f>T24-R24</f>
        <v>20</v>
      </c>
      <c r="W24" s="4" t="s">
        <v>214</v>
      </c>
      <c r="X24" s="35" t="s">
        <v>129</v>
      </c>
    </row>
    <row r="25" spans="1:24" ht="20.149999999999999" customHeight="1" x14ac:dyDescent="0.35">
      <c r="A25" s="4" t="s">
        <v>52</v>
      </c>
      <c r="B25" s="4" t="str">
        <f xml:space="preserve"> TRIM(sales[[#This Row],[أسم العميل]])</f>
        <v>اوسكار راتن</v>
      </c>
      <c r="C25" s="4" t="str">
        <f t="shared" si="0"/>
        <v>شركات</v>
      </c>
      <c r="D25" s="4" t="s">
        <v>207</v>
      </c>
      <c r="E25" s="4" t="s">
        <v>53</v>
      </c>
      <c r="F25" s="4" t="s">
        <v>34</v>
      </c>
      <c r="G25" s="4" t="s">
        <v>94</v>
      </c>
      <c r="H25" s="4" t="s">
        <v>97</v>
      </c>
      <c r="I25" s="4" t="s">
        <v>117</v>
      </c>
      <c r="J25" s="4">
        <v>120</v>
      </c>
      <c r="K25" s="4" t="s">
        <v>108</v>
      </c>
      <c r="L25" s="4"/>
      <c r="M25" s="4" t="s">
        <v>261</v>
      </c>
      <c r="N25" s="12">
        <v>4020</v>
      </c>
      <c r="O25" s="12">
        <v>1</v>
      </c>
      <c r="P25" s="12">
        <v>0</v>
      </c>
      <c r="Q25" s="25" t="s">
        <v>54</v>
      </c>
      <c r="R25" s="5">
        <v>45547</v>
      </c>
      <c r="S25" s="5">
        <v>45556</v>
      </c>
      <c r="T25" s="5">
        <v>45557</v>
      </c>
      <c r="U25" s="25" t="str">
        <f>IF(sales[[#This Row],[تاريخ التسليم]]&lt;=sales[[#This Row],[ميعاد التسليم]],"on time","late")</f>
        <v>late</v>
      </c>
      <c r="V25" s="20">
        <f>T25-R25</f>
        <v>10</v>
      </c>
      <c r="W25" s="4" t="s">
        <v>214</v>
      </c>
      <c r="X25" s="35" t="s">
        <v>129</v>
      </c>
    </row>
    <row r="26" spans="1:24" ht="20.149999999999999" customHeight="1" x14ac:dyDescent="0.35">
      <c r="A26" s="4" t="s">
        <v>52</v>
      </c>
      <c r="B26" s="4" t="str">
        <f xml:space="preserve"> TRIM(sales[[#This Row],[أسم العميل]])</f>
        <v>اوسكار راتن</v>
      </c>
      <c r="C26" s="4" t="str">
        <f t="shared" si="0"/>
        <v>شركات</v>
      </c>
      <c r="D26" s="4" t="s">
        <v>207</v>
      </c>
      <c r="E26" s="4" t="s">
        <v>53</v>
      </c>
      <c r="F26" s="4" t="s">
        <v>34</v>
      </c>
      <c r="G26" s="4" t="s">
        <v>94</v>
      </c>
      <c r="H26" s="4" t="s">
        <v>97</v>
      </c>
      <c r="I26" s="4" t="s">
        <v>110</v>
      </c>
      <c r="J26" s="4">
        <v>120</v>
      </c>
      <c r="K26" s="4" t="s">
        <v>109</v>
      </c>
      <c r="L26" s="4"/>
      <c r="M26" s="4" t="s">
        <v>270</v>
      </c>
      <c r="N26" s="12">
        <v>8040</v>
      </c>
      <c r="O26" s="12">
        <v>2</v>
      </c>
      <c r="P26" s="12">
        <v>8040</v>
      </c>
      <c r="Q26" s="25" t="s">
        <v>70</v>
      </c>
      <c r="R26" s="5">
        <v>45547</v>
      </c>
      <c r="S26" s="5">
        <v>45556</v>
      </c>
      <c r="T26" s="5">
        <v>45557</v>
      </c>
      <c r="U26" s="25" t="str">
        <f>IF(sales[[#This Row],[تاريخ التسليم]]&lt;=sales[[#This Row],[ميعاد التسليم]],"on time","late")</f>
        <v>late</v>
      </c>
      <c r="V26" s="20">
        <f>T26-R26</f>
        <v>10</v>
      </c>
      <c r="W26" s="4" t="s">
        <v>214</v>
      </c>
      <c r="X26" s="35" t="s">
        <v>129</v>
      </c>
    </row>
    <row r="27" spans="1:24" ht="20.149999999999999" customHeight="1" x14ac:dyDescent="0.35">
      <c r="A27" s="7" t="s">
        <v>89</v>
      </c>
      <c r="B27" s="7" t="str">
        <f xml:space="preserve"> TRIM(sales[[#This Row],[أسم العميل]])</f>
        <v>صفاء الحكيم</v>
      </c>
      <c r="C27" s="7" t="str">
        <f t="shared" si="0"/>
        <v>افراد</v>
      </c>
      <c r="D27" s="7" t="s">
        <v>90</v>
      </c>
      <c r="E27" s="7" t="s">
        <v>90</v>
      </c>
      <c r="F27" s="7" t="s">
        <v>5</v>
      </c>
      <c r="G27" s="7" t="s">
        <v>94</v>
      </c>
      <c r="H27" s="7" t="s">
        <v>95</v>
      </c>
      <c r="I27" s="7"/>
      <c r="J27" s="7"/>
      <c r="K27" s="7" t="s">
        <v>109</v>
      </c>
      <c r="L27" s="7" t="s">
        <v>109</v>
      </c>
      <c r="M27" s="7" t="s">
        <v>271</v>
      </c>
      <c r="N27" s="13">
        <v>9399</v>
      </c>
      <c r="O27" s="13">
        <v>1</v>
      </c>
      <c r="P27" s="13">
        <v>9399</v>
      </c>
      <c r="Q27" s="28" t="s">
        <v>70</v>
      </c>
      <c r="R27" s="6">
        <v>45549</v>
      </c>
      <c r="S27" s="6">
        <v>45557</v>
      </c>
      <c r="T27" s="6"/>
      <c r="U27" s="28" t="s">
        <v>281</v>
      </c>
      <c r="V27" s="21"/>
      <c r="W27" s="7" t="s">
        <v>214</v>
      </c>
      <c r="X27" s="36" t="s">
        <v>134</v>
      </c>
    </row>
    <row r="28" spans="1:24" ht="20.149999999999999" customHeight="1" x14ac:dyDescent="0.35">
      <c r="A28" s="4" t="s">
        <v>91</v>
      </c>
      <c r="B28" s="4" t="str">
        <f xml:space="preserve"> TRIM(sales[[#This Row],[أسم العميل]])</f>
        <v>يوسف شناوى</v>
      </c>
      <c r="C28" s="4" t="str">
        <f t="shared" si="0"/>
        <v>افراد</v>
      </c>
      <c r="D28" s="4" t="s">
        <v>205</v>
      </c>
      <c r="E28" s="4" t="s">
        <v>92</v>
      </c>
      <c r="F28" s="4" t="s">
        <v>5</v>
      </c>
      <c r="G28" s="4" t="s">
        <v>186</v>
      </c>
      <c r="H28" s="4" t="s">
        <v>126</v>
      </c>
      <c r="I28" s="4"/>
      <c r="J28" s="4"/>
      <c r="K28" s="4"/>
      <c r="L28" s="4"/>
      <c r="M28" s="4" t="s">
        <v>93</v>
      </c>
      <c r="N28" s="12">
        <v>8349</v>
      </c>
      <c r="O28" s="12">
        <v>1</v>
      </c>
      <c r="P28" s="12">
        <v>8349</v>
      </c>
      <c r="Q28" s="25" t="s">
        <v>70</v>
      </c>
      <c r="R28" s="5">
        <v>45549</v>
      </c>
      <c r="S28" s="5">
        <v>45557</v>
      </c>
      <c r="T28" s="5">
        <v>45559</v>
      </c>
      <c r="U28" s="25" t="str">
        <f>IF(sales[[#This Row],[تاريخ التسليم]]&lt;=sales[[#This Row],[ميعاد التسليم]],"on time","late")</f>
        <v>late</v>
      </c>
      <c r="V28" s="20">
        <f>T28-R28</f>
        <v>10</v>
      </c>
      <c r="W28" s="4" t="s">
        <v>216</v>
      </c>
      <c r="X28" s="35" t="s">
        <v>129</v>
      </c>
    </row>
    <row r="29" spans="1:24" ht="20.149999999999999" customHeight="1" x14ac:dyDescent="0.35">
      <c r="A29" s="4" t="s">
        <v>64</v>
      </c>
      <c r="B29" s="4" t="str">
        <f xml:space="preserve"> TRIM(sales[[#This Row],[أسم العميل]])</f>
        <v>حاتم العيسوي</v>
      </c>
      <c r="C29" s="4" t="str">
        <f t="shared" si="0"/>
        <v>افراد</v>
      </c>
      <c r="D29" s="4" t="s">
        <v>204</v>
      </c>
      <c r="E29" s="4" t="s">
        <v>23</v>
      </c>
      <c r="F29" s="4" t="s">
        <v>5</v>
      </c>
      <c r="G29" s="4" t="s">
        <v>94</v>
      </c>
      <c r="H29" s="4" t="s">
        <v>95</v>
      </c>
      <c r="I29" s="4"/>
      <c r="J29" s="4"/>
      <c r="K29" s="4" t="s">
        <v>109</v>
      </c>
      <c r="L29" s="4" t="s">
        <v>109</v>
      </c>
      <c r="M29" s="4" t="s">
        <v>272</v>
      </c>
      <c r="N29" s="12">
        <v>9399</v>
      </c>
      <c r="O29" s="12">
        <v>1</v>
      </c>
      <c r="P29" s="12">
        <v>9399</v>
      </c>
      <c r="Q29" s="25" t="s">
        <v>12</v>
      </c>
      <c r="R29" s="5">
        <v>45548</v>
      </c>
      <c r="S29" s="5">
        <v>45559</v>
      </c>
      <c r="T29" s="5">
        <v>45565</v>
      </c>
      <c r="U29" s="25" t="str">
        <f>IF(sales[[#This Row],[تاريخ التسليم]]&lt;=sales[[#This Row],[ميعاد التسليم]],"on time","late")</f>
        <v>late</v>
      </c>
      <c r="V29" s="20">
        <f>T29-R29</f>
        <v>17</v>
      </c>
      <c r="W29" s="4" t="s">
        <v>216</v>
      </c>
      <c r="X29" s="35" t="s">
        <v>129</v>
      </c>
    </row>
    <row r="30" spans="1:24" ht="20.149999999999999" customHeight="1" x14ac:dyDescent="0.35">
      <c r="A30" s="4" t="s">
        <v>44</v>
      </c>
      <c r="B30" s="4" t="str">
        <f xml:space="preserve"> TRIM(sales[[#This Row],[أسم العميل]])</f>
        <v>رنا</v>
      </c>
      <c r="C30" s="4" t="str">
        <f t="shared" si="0"/>
        <v>افراد</v>
      </c>
      <c r="D30" s="4" t="s">
        <v>206</v>
      </c>
      <c r="E30" s="4" t="s">
        <v>45</v>
      </c>
      <c r="F30" s="4" t="s">
        <v>5</v>
      </c>
      <c r="G30" s="4" t="s">
        <v>186</v>
      </c>
      <c r="H30" s="4" t="s">
        <v>124</v>
      </c>
      <c r="I30" s="4"/>
      <c r="J30" s="4"/>
      <c r="K30" s="4"/>
      <c r="L30" s="4"/>
      <c r="M30" s="4" t="s">
        <v>39</v>
      </c>
      <c r="N30" s="20">
        <v>7928</v>
      </c>
      <c r="O30" s="12">
        <v>1</v>
      </c>
      <c r="P30" s="12">
        <v>0</v>
      </c>
      <c r="Q30" s="25" t="s">
        <v>222</v>
      </c>
      <c r="R30" s="5">
        <v>45547</v>
      </c>
      <c r="S30" s="5">
        <v>45561</v>
      </c>
      <c r="T30" s="5">
        <f>15+R30</f>
        <v>45562</v>
      </c>
      <c r="U30" s="25" t="str">
        <f>IF(sales[[#This Row],[تاريخ التسليم]]&lt;=sales[[#This Row],[ميعاد التسليم]],"on time","late")</f>
        <v>late</v>
      </c>
      <c r="V30" s="20">
        <f>T30-R30</f>
        <v>15</v>
      </c>
      <c r="W30" s="4" t="s">
        <v>216</v>
      </c>
      <c r="X30" s="35" t="s">
        <v>129</v>
      </c>
    </row>
    <row r="31" spans="1:24" ht="20.149999999999999" customHeight="1" x14ac:dyDescent="0.35">
      <c r="A31" s="7" t="s">
        <v>50</v>
      </c>
      <c r="B31" s="7" t="str">
        <f xml:space="preserve"> TRIM(sales[[#This Row],[أسم العميل]])</f>
        <v>عبير نور الدين</v>
      </c>
      <c r="C31" s="7" t="str">
        <f t="shared" si="0"/>
        <v>افراد</v>
      </c>
      <c r="D31" s="7" t="s">
        <v>204</v>
      </c>
      <c r="E31" s="2" t="s">
        <v>51</v>
      </c>
      <c r="F31" s="2" t="s">
        <v>21</v>
      </c>
      <c r="G31" s="2" t="s">
        <v>94</v>
      </c>
      <c r="H31" s="7" t="s">
        <v>112</v>
      </c>
      <c r="I31" s="7" t="s">
        <v>99</v>
      </c>
      <c r="J31" s="7">
        <v>100</v>
      </c>
      <c r="K31" s="7" t="s">
        <v>109</v>
      </c>
      <c r="L31" s="7"/>
      <c r="M31" s="7" t="s">
        <v>273</v>
      </c>
      <c r="N31" s="13">
        <v>9450</v>
      </c>
      <c r="O31" s="13">
        <v>1</v>
      </c>
      <c r="P31" s="13">
        <v>0</v>
      </c>
      <c r="Q31" s="28" t="s">
        <v>222</v>
      </c>
      <c r="R31" s="6">
        <v>45547</v>
      </c>
      <c r="S31" s="6">
        <v>45561</v>
      </c>
      <c r="T31" s="6"/>
      <c r="U31" s="28" t="s">
        <v>281</v>
      </c>
      <c r="V31" s="21"/>
      <c r="W31" s="7" t="s">
        <v>214</v>
      </c>
      <c r="X31" s="36" t="s">
        <v>134</v>
      </c>
    </row>
    <row r="32" spans="1:24" ht="20.149999999999999" customHeight="1" x14ac:dyDescent="0.35">
      <c r="A32" s="4" t="s">
        <v>59</v>
      </c>
      <c r="B32" s="4" t="str">
        <f xml:space="preserve"> TRIM(sales[[#This Row],[أسم العميل]])</f>
        <v>اسراء ابو العنين</v>
      </c>
      <c r="C32" s="4" t="str">
        <f t="shared" si="0"/>
        <v>افراد</v>
      </c>
      <c r="D32" s="4" t="s">
        <v>206</v>
      </c>
      <c r="E32" s="4" t="s">
        <v>42</v>
      </c>
      <c r="F32" s="4" t="s">
        <v>5</v>
      </c>
      <c r="G32" s="4" t="s">
        <v>94</v>
      </c>
      <c r="H32" s="4" t="s">
        <v>97</v>
      </c>
      <c r="I32" s="4" t="s">
        <v>100</v>
      </c>
      <c r="J32" s="4">
        <v>120</v>
      </c>
      <c r="K32" s="4" t="s">
        <v>109</v>
      </c>
      <c r="L32" s="4"/>
      <c r="M32" s="4" t="s">
        <v>274</v>
      </c>
      <c r="N32" s="12">
        <v>7460</v>
      </c>
      <c r="O32" s="12">
        <v>1</v>
      </c>
      <c r="P32" s="12">
        <v>7460</v>
      </c>
      <c r="Q32" s="25" t="s">
        <v>12</v>
      </c>
      <c r="R32" s="5">
        <v>45548</v>
      </c>
      <c r="S32" s="5">
        <v>45561</v>
      </c>
      <c r="T32" s="5">
        <v>45568</v>
      </c>
      <c r="U32" s="25" t="str">
        <f>IF(sales[[#This Row],[تاريخ التسليم]]&lt;=sales[[#This Row],[ميعاد التسليم]],"on time","late")</f>
        <v>late</v>
      </c>
      <c r="V32" s="20">
        <f>T32-R32</f>
        <v>20</v>
      </c>
      <c r="W32" s="4" t="s">
        <v>214</v>
      </c>
      <c r="X32" s="35" t="s">
        <v>129</v>
      </c>
    </row>
    <row r="33" spans="1:24" ht="20.149999999999999" customHeight="1" x14ac:dyDescent="0.35">
      <c r="A33" s="4" t="s">
        <v>61</v>
      </c>
      <c r="B33" s="4" t="str">
        <f xml:space="preserve"> TRIM(sales[[#This Row],[أسم العميل]])</f>
        <v>وائل صادق</v>
      </c>
      <c r="C33" s="4" t="str">
        <f t="shared" si="0"/>
        <v>افراد</v>
      </c>
      <c r="D33" s="4" t="s">
        <v>206</v>
      </c>
      <c r="E33" s="4" t="s">
        <v>42</v>
      </c>
      <c r="F33" s="4" t="s">
        <v>5</v>
      </c>
      <c r="G33" s="4" t="s">
        <v>94</v>
      </c>
      <c r="H33" s="4" t="s">
        <v>97</v>
      </c>
      <c r="I33" s="4" t="s">
        <v>118</v>
      </c>
      <c r="J33" s="4">
        <v>140</v>
      </c>
      <c r="K33" s="4" t="s">
        <v>116</v>
      </c>
      <c r="L33" s="4" t="s">
        <v>113</v>
      </c>
      <c r="M33" s="4" t="s">
        <v>244</v>
      </c>
      <c r="N33" s="12">
        <v>9528</v>
      </c>
      <c r="O33" s="12">
        <v>1</v>
      </c>
      <c r="P33" s="12">
        <v>9528</v>
      </c>
      <c r="Q33" s="25" t="s">
        <v>12</v>
      </c>
      <c r="R33" s="5">
        <v>45548</v>
      </c>
      <c r="S33" s="5">
        <v>45561</v>
      </c>
      <c r="T33" s="5">
        <v>45568</v>
      </c>
      <c r="U33" s="25" t="str">
        <f>IF(sales[[#This Row],[تاريخ التسليم]]&lt;=sales[[#This Row],[ميعاد التسليم]],"on time","late")</f>
        <v>late</v>
      </c>
      <c r="V33" s="20">
        <f>T33-R33</f>
        <v>20</v>
      </c>
      <c r="W33" s="4" t="s">
        <v>214</v>
      </c>
      <c r="X33" s="35" t="s">
        <v>129</v>
      </c>
    </row>
    <row r="34" spans="1:24" ht="20.149999999999999" customHeight="1" x14ac:dyDescent="0.35">
      <c r="A34" s="4" t="s">
        <v>88</v>
      </c>
      <c r="B34" s="4" t="str">
        <f xml:space="preserve"> TRIM(sales[[#This Row],[أسم العميل]])</f>
        <v>حسن مغرب</v>
      </c>
      <c r="C34" s="4" t="str">
        <f t="shared" ref="C34:C65" si="1">IF(OR(B34="شيك هومز", B34="تاكى", B34="اوسكار راتن", B34="هومزمارت"), "شركات", "افراد")</f>
        <v>افراد</v>
      </c>
      <c r="D34" s="4" t="s">
        <v>204</v>
      </c>
      <c r="E34" s="4" t="s">
        <v>23</v>
      </c>
      <c r="F34" s="4" t="s">
        <v>5</v>
      </c>
      <c r="G34" s="4" t="s">
        <v>94</v>
      </c>
      <c r="H34" s="4" t="s">
        <v>106</v>
      </c>
      <c r="I34" s="4" t="s">
        <v>99</v>
      </c>
      <c r="J34" s="4">
        <v>120</v>
      </c>
      <c r="K34" s="4" t="s">
        <v>113</v>
      </c>
      <c r="L34" s="4"/>
      <c r="M34" s="4" t="s">
        <v>245</v>
      </c>
      <c r="N34" s="12">
        <v>12999</v>
      </c>
      <c r="O34" s="12">
        <v>1</v>
      </c>
      <c r="P34" s="12">
        <v>12999</v>
      </c>
      <c r="Q34" s="25" t="s">
        <v>12</v>
      </c>
      <c r="R34" s="5">
        <v>45549</v>
      </c>
      <c r="S34" s="5">
        <v>45562</v>
      </c>
      <c r="T34" s="5">
        <v>45567</v>
      </c>
      <c r="U34" s="25" t="str">
        <f>IF(sales[[#This Row],[تاريخ التسليم]]&lt;=sales[[#This Row],[ميعاد التسليم]],"on time","late")</f>
        <v>late</v>
      </c>
      <c r="V34" s="20">
        <f>T34-R34</f>
        <v>18</v>
      </c>
      <c r="W34" s="4" t="s">
        <v>214</v>
      </c>
      <c r="X34" s="35" t="s">
        <v>129</v>
      </c>
    </row>
    <row r="35" spans="1:24" ht="20.149999999999999" customHeight="1" x14ac:dyDescent="0.35">
      <c r="A35" s="2" t="s">
        <v>46</v>
      </c>
      <c r="B35" s="2" t="str">
        <f xml:space="preserve"> TRIM(sales[[#This Row],[أسم العميل]])</f>
        <v>على السيد</v>
      </c>
      <c r="C35" s="2" t="str">
        <f t="shared" si="1"/>
        <v>افراد</v>
      </c>
      <c r="D35" s="2" t="s">
        <v>206</v>
      </c>
      <c r="E35" s="2" t="s">
        <v>47</v>
      </c>
      <c r="F35" s="2" t="s">
        <v>5</v>
      </c>
      <c r="G35" s="2" t="s">
        <v>94</v>
      </c>
      <c r="H35" s="2" t="s">
        <v>106</v>
      </c>
      <c r="I35" s="2" t="s">
        <v>96</v>
      </c>
      <c r="J35" s="2">
        <v>90</v>
      </c>
      <c r="K35" s="2" t="s">
        <v>109</v>
      </c>
      <c r="L35" s="2"/>
      <c r="M35" s="2" t="s">
        <v>275</v>
      </c>
      <c r="N35" s="11">
        <v>5999</v>
      </c>
      <c r="O35" s="11">
        <v>1</v>
      </c>
      <c r="P35" s="11">
        <v>5999</v>
      </c>
      <c r="Q35" s="29" t="s">
        <v>12</v>
      </c>
      <c r="R35" s="3">
        <v>45547</v>
      </c>
      <c r="S35" s="3">
        <v>45564</v>
      </c>
      <c r="T35" s="3"/>
      <c r="U35" s="28" t="s">
        <v>281</v>
      </c>
      <c r="V35" s="22"/>
      <c r="W35" s="2" t="s">
        <v>214</v>
      </c>
      <c r="X35" s="37" t="s">
        <v>134</v>
      </c>
    </row>
    <row r="36" spans="1:24" ht="20.149999999999999" customHeight="1" x14ac:dyDescent="0.35">
      <c r="A36" s="4" t="s">
        <v>48</v>
      </c>
      <c r="B36" s="4" t="str">
        <f xml:space="preserve"> TRIM(sales[[#This Row],[أسم العميل]])</f>
        <v>هشام بسيونى</v>
      </c>
      <c r="C36" s="4" t="str">
        <f t="shared" si="1"/>
        <v>افراد</v>
      </c>
      <c r="D36" s="4" t="s">
        <v>206</v>
      </c>
      <c r="E36" s="4" t="s">
        <v>49</v>
      </c>
      <c r="F36" s="4" t="s">
        <v>5</v>
      </c>
      <c r="G36" s="4" t="s">
        <v>94</v>
      </c>
      <c r="H36" s="4" t="s">
        <v>106</v>
      </c>
      <c r="I36" s="4" t="s">
        <v>99</v>
      </c>
      <c r="J36" s="4">
        <v>100</v>
      </c>
      <c r="K36" s="4" t="s">
        <v>109</v>
      </c>
      <c r="L36" s="4"/>
      <c r="M36" s="4" t="s">
        <v>276</v>
      </c>
      <c r="N36" s="20">
        <v>10749</v>
      </c>
      <c r="O36" s="12">
        <v>2</v>
      </c>
      <c r="P36" s="12">
        <v>0</v>
      </c>
      <c r="Q36" s="25" t="s">
        <v>222</v>
      </c>
      <c r="R36" s="5">
        <v>45547</v>
      </c>
      <c r="S36" s="5">
        <v>45564</v>
      </c>
      <c r="T36" s="5">
        <v>45567</v>
      </c>
      <c r="U36" s="25" t="str">
        <f>IF(sales[[#This Row],[تاريخ التسليم]]&lt;=sales[[#This Row],[ميعاد التسليم]],"on time","late")</f>
        <v>late</v>
      </c>
      <c r="V36" s="20">
        <f t="shared" ref="V36:V48" si="2">T36-R36</f>
        <v>20</v>
      </c>
      <c r="W36" s="4" t="s">
        <v>214</v>
      </c>
      <c r="X36" s="35" t="s">
        <v>129</v>
      </c>
    </row>
    <row r="37" spans="1:24" ht="20.149999999999999" customHeight="1" x14ac:dyDescent="0.35">
      <c r="A37" s="4" t="s">
        <v>19</v>
      </c>
      <c r="B37" s="4" t="str">
        <f xml:space="preserve"> TRIM(sales[[#This Row],[أسم العميل]])</f>
        <v>احمد</v>
      </c>
      <c r="C37" s="4" t="str">
        <f t="shared" si="1"/>
        <v>افراد</v>
      </c>
      <c r="D37" s="4" t="s">
        <v>206</v>
      </c>
      <c r="E37" s="4" t="s">
        <v>55</v>
      </c>
      <c r="F37" s="4" t="s">
        <v>5</v>
      </c>
      <c r="G37" s="4" t="s">
        <v>94</v>
      </c>
      <c r="H37" s="4" t="s">
        <v>112</v>
      </c>
      <c r="I37" s="4" t="s">
        <v>99</v>
      </c>
      <c r="J37" s="4">
        <v>80</v>
      </c>
      <c r="K37" s="4" t="s">
        <v>108</v>
      </c>
      <c r="L37" s="4"/>
      <c r="M37" s="4" t="s">
        <v>262</v>
      </c>
      <c r="N37" s="12">
        <v>16599</v>
      </c>
      <c r="O37" s="12">
        <v>1</v>
      </c>
      <c r="P37" s="12">
        <v>16599</v>
      </c>
      <c r="Q37" s="25" t="s">
        <v>12</v>
      </c>
      <c r="R37" s="5">
        <v>45548</v>
      </c>
      <c r="S37" s="5">
        <v>45565</v>
      </c>
      <c r="T37" s="5">
        <v>45568</v>
      </c>
      <c r="U37" s="25" t="str">
        <f>IF(sales[[#This Row],[تاريخ التسليم]]&lt;=sales[[#This Row],[ميعاد التسليم]],"on time","late")</f>
        <v>late</v>
      </c>
      <c r="V37" s="20">
        <f t="shared" si="2"/>
        <v>20</v>
      </c>
      <c r="W37" s="4" t="s">
        <v>214</v>
      </c>
      <c r="X37" s="35" t="s">
        <v>129</v>
      </c>
    </row>
    <row r="38" spans="1:24" ht="20.149999999999999" customHeight="1" x14ac:dyDescent="0.35">
      <c r="A38" s="4" t="s">
        <v>56</v>
      </c>
      <c r="B38" s="4" t="str">
        <f xml:space="preserve"> TRIM(sales[[#This Row],[أسم العميل]])</f>
        <v>ساره وجيه</v>
      </c>
      <c r="C38" s="4" t="str">
        <f t="shared" si="1"/>
        <v>افراد</v>
      </c>
      <c r="D38" s="4" t="s">
        <v>72</v>
      </c>
      <c r="E38" s="4" t="s">
        <v>72</v>
      </c>
      <c r="F38" s="4" t="s">
        <v>5</v>
      </c>
      <c r="G38" s="4" t="s">
        <v>94</v>
      </c>
      <c r="H38" s="4" t="s">
        <v>106</v>
      </c>
      <c r="I38" s="4" t="s">
        <v>99</v>
      </c>
      <c r="J38" s="4">
        <v>80</v>
      </c>
      <c r="K38" s="4" t="s">
        <v>108</v>
      </c>
      <c r="L38" s="4"/>
      <c r="M38" s="4" t="s">
        <v>263</v>
      </c>
      <c r="N38" s="12">
        <v>10999</v>
      </c>
      <c r="O38" s="12">
        <v>1</v>
      </c>
      <c r="P38" s="12">
        <v>10999</v>
      </c>
      <c r="Q38" s="25" t="s">
        <v>12</v>
      </c>
      <c r="R38" s="5">
        <v>45548</v>
      </c>
      <c r="S38" s="5">
        <v>45565</v>
      </c>
      <c r="T38" s="5">
        <v>45581</v>
      </c>
      <c r="U38" s="25" t="str">
        <f>IF(sales[[#This Row],[تاريخ التسليم]]&lt;=sales[[#This Row],[ميعاد التسليم]],"on time","late")</f>
        <v>late</v>
      </c>
      <c r="V38" s="20">
        <f t="shared" si="2"/>
        <v>33</v>
      </c>
      <c r="W38" s="4" t="s">
        <v>216</v>
      </c>
      <c r="X38" s="35" t="s">
        <v>129</v>
      </c>
    </row>
    <row r="39" spans="1:24" ht="20.149999999999999" customHeight="1" x14ac:dyDescent="0.35">
      <c r="A39" s="4" t="s">
        <v>57</v>
      </c>
      <c r="B39" s="4" t="str">
        <f xml:space="preserve"> TRIM(sales[[#This Row],[أسم العميل]])</f>
        <v>مها</v>
      </c>
      <c r="C39" s="4" t="str">
        <f t="shared" si="1"/>
        <v>افراد</v>
      </c>
      <c r="D39" s="4" t="s">
        <v>90</v>
      </c>
      <c r="E39" s="4" t="s">
        <v>58</v>
      </c>
      <c r="F39" s="4" t="s">
        <v>5</v>
      </c>
      <c r="G39" s="4" t="s">
        <v>94</v>
      </c>
      <c r="H39" s="4" t="s">
        <v>106</v>
      </c>
      <c r="I39" s="4" t="s">
        <v>99</v>
      </c>
      <c r="J39" s="4">
        <v>140</v>
      </c>
      <c r="K39" s="4" t="s">
        <v>111</v>
      </c>
      <c r="L39" s="4"/>
      <c r="M39" s="4" t="s">
        <v>246</v>
      </c>
      <c r="N39" s="12">
        <v>13099</v>
      </c>
      <c r="O39" s="12">
        <v>1</v>
      </c>
      <c r="P39" s="12">
        <v>13099</v>
      </c>
      <c r="Q39" s="25" t="s">
        <v>12</v>
      </c>
      <c r="R39" s="5">
        <v>45548</v>
      </c>
      <c r="S39" s="5">
        <v>45565</v>
      </c>
      <c r="T39" s="5">
        <v>45568</v>
      </c>
      <c r="U39" s="25" t="str">
        <f>IF(sales[[#This Row],[تاريخ التسليم]]&lt;=sales[[#This Row],[ميعاد التسليم]],"on time","late")</f>
        <v>late</v>
      </c>
      <c r="V39" s="20">
        <f t="shared" si="2"/>
        <v>20</v>
      </c>
      <c r="W39" s="4" t="s">
        <v>216</v>
      </c>
      <c r="X39" s="35" t="s">
        <v>129</v>
      </c>
    </row>
    <row r="40" spans="1:24" ht="20.149999999999999" customHeight="1" x14ac:dyDescent="0.35">
      <c r="A40" s="4" t="s">
        <v>60</v>
      </c>
      <c r="B40" s="4" t="str">
        <f xml:space="preserve"> TRIM(sales[[#This Row],[أسم العميل]])</f>
        <v>بسام الشربينى</v>
      </c>
      <c r="C40" s="4" t="str">
        <f t="shared" si="1"/>
        <v>افراد</v>
      </c>
      <c r="D40" s="4" t="s">
        <v>204</v>
      </c>
      <c r="E40" s="4" t="s">
        <v>23</v>
      </c>
      <c r="F40" s="4" t="s">
        <v>5</v>
      </c>
      <c r="G40" s="4" t="s">
        <v>94</v>
      </c>
      <c r="H40" s="4" t="s">
        <v>106</v>
      </c>
      <c r="I40" s="4" t="s">
        <v>98</v>
      </c>
      <c r="J40" s="4">
        <v>120</v>
      </c>
      <c r="K40" s="4" t="s">
        <v>114</v>
      </c>
      <c r="L40" s="4"/>
      <c r="M40" s="4" t="s">
        <v>247</v>
      </c>
      <c r="N40" s="12">
        <v>13849</v>
      </c>
      <c r="O40" s="12">
        <v>1</v>
      </c>
      <c r="P40" s="12">
        <v>13849</v>
      </c>
      <c r="Q40" s="25" t="s">
        <v>12</v>
      </c>
      <c r="R40" s="5">
        <v>45548</v>
      </c>
      <c r="S40" s="5">
        <v>45565</v>
      </c>
      <c r="T40" s="5">
        <v>45585</v>
      </c>
      <c r="U40" s="25" t="str">
        <f>IF(sales[[#This Row],[تاريخ التسليم]]&lt;=sales[[#This Row],[ميعاد التسليم]],"on time","late")</f>
        <v>late</v>
      </c>
      <c r="V40" s="20">
        <f t="shared" si="2"/>
        <v>37</v>
      </c>
      <c r="W40" s="4" t="s">
        <v>214</v>
      </c>
      <c r="X40" s="35" t="s">
        <v>129</v>
      </c>
    </row>
    <row r="41" spans="1:24" ht="20.149999999999999" customHeight="1" x14ac:dyDescent="0.35">
      <c r="A41" s="4" t="s">
        <v>62</v>
      </c>
      <c r="B41" s="4" t="str">
        <f xml:space="preserve"> TRIM(sales[[#This Row],[أسم العميل]])</f>
        <v>هبه عبد الفتاح</v>
      </c>
      <c r="C41" s="4" t="str">
        <f t="shared" si="1"/>
        <v>افراد</v>
      </c>
      <c r="D41" s="4" t="s">
        <v>206</v>
      </c>
      <c r="E41" s="4" t="s">
        <v>63</v>
      </c>
      <c r="F41" s="4" t="s">
        <v>5</v>
      </c>
      <c r="G41" s="4" t="s">
        <v>107</v>
      </c>
      <c r="H41" s="4" t="s">
        <v>105</v>
      </c>
      <c r="I41" s="4"/>
      <c r="J41" s="4"/>
      <c r="K41" s="4" t="s">
        <v>109</v>
      </c>
      <c r="L41" s="4" t="s">
        <v>113</v>
      </c>
      <c r="M41" s="4" t="s">
        <v>248</v>
      </c>
      <c r="N41" s="12">
        <v>21999</v>
      </c>
      <c r="O41" s="12">
        <v>4</v>
      </c>
      <c r="P41" s="12">
        <v>21999</v>
      </c>
      <c r="Q41" s="25" t="s">
        <v>12</v>
      </c>
      <c r="R41" s="5">
        <v>45548</v>
      </c>
      <c r="S41" s="5">
        <v>45565</v>
      </c>
      <c r="T41" s="5">
        <f>15+R41</f>
        <v>45563</v>
      </c>
      <c r="U41" s="25" t="str">
        <f>IF(sales[[#This Row],[تاريخ التسليم]]&lt;=sales[[#This Row],[ميعاد التسليم]],"on time","late")</f>
        <v>on time</v>
      </c>
      <c r="V41" s="20">
        <f t="shared" si="2"/>
        <v>15</v>
      </c>
      <c r="W41" s="4" t="s">
        <v>214</v>
      </c>
      <c r="X41" s="35" t="s">
        <v>129</v>
      </c>
    </row>
    <row r="42" spans="1:24" ht="20.149999999999999" customHeight="1" x14ac:dyDescent="0.35">
      <c r="A42" s="4" t="s">
        <v>67</v>
      </c>
      <c r="B42" s="4" t="str">
        <f xml:space="preserve"> TRIM(sales[[#This Row],[أسم العميل]])</f>
        <v>اسراء ابراهيم</v>
      </c>
      <c r="C42" s="4" t="str">
        <f t="shared" si="1"/>
        <v>افراد</v>
      </c>
      <c r="D42" s="4" t="s">
        <v>204</v>
      </c>
      <c r="E42" s="4" t="s">
        <v>23</v>
      </c>
      <c r="F42" s="4" t="s">
        <v>5</v>
      </c>
      <c r="G42" s="4" t="s">
        <v>94</v>
      </c>
      <c r="H42" s="4" t="s">
        <v>106</v>
      </c>
      <c r="I42" s="4" t="s">
        <v>99</v>
      </c>
      <c r="J42" s="4">
        <v>80</v>
      </c>
      <c r="K42" s="4" t="s">
        <v>108</v>
      </c>
      <c r="L42" s="4"/>
      <c r="M42" s="4" t="s">
        <v>263</v>
      </c>
      <c r="N42" s="12">
        <v>10999</v>
      </c>
      <c r="O42" s="12">
        <v>1</v>
      </c>
      <c r="P42" s="12">
        <v>10999</v>
      </c>
      <c r="Q42" s="25" t="s">
        <v>12</v>
      </c>
      <c r="R42" s="5">
        <v>45548</v>
      </c>
      <c r="S42" s="5">
        <v>45565</v>
      </c>
      <c r="T42" s="5">
        <v>45580</v>
      </c>
      <c r="U42" s="25" t="str">
        <f>IF(sales[[#This Row],[تاريخ التسليم]]&lt;=sales[[#This Row],[ميعاد التسليم]],"on time","late")</f>
        <v>late</v>
      </c>
      <c r="V42" s="20">
        <f t="shared" si="2"/>
        <v>32</v>
      </c>
      <c r="W42" s="4" t="s">
        <v>214</v>
      </c>
      <c r="X42" s="35" t="s">
        <v>129</v>
      </c>
    </row>
    <row r="43" spans="1:24" ht="20.149999999999999" customHeight="1" x14ac:dyDescent="0.35">
      <c r="A43" s="4" t="s">
        <v>68</v>
      </c>
      <c r="B43" s="4" t="str">
        <f xml:space="preserve"> TRIM(sales[[#This Row],[أسم العميل]])</f>
        <v>طارق كمال</v>
      </c>
      <c r="C43" s="4" t="str">
        <f t="shared" si="1"/>
        <v>افراد</v>
      </c>
      <c r="D43" s="4" t="s">
        <v>206</v>
      </c>
      <c r="E43" s="4" t="s">
        <v>66</v>
      </c>
      <c r="F43" s="4" t="s">
        <v>5</v>
      </c>
      <c r="G43" s="4" t="s">
        <v>94</v>
      </c>
      <c r="H43" s="4" t="s">
        <v>112</v>
      </c>
      <c r="I43" s="4" t="s">
        <v>99</v>
      </c>
      <c r="J43" s="4">
        <v>90</v>
      </c>
      <c r="K43" s="4" t="s">
        <v>109</v>
      </c>
      <c r="L43" s="4"/>
      <c r="M43" s="4" t="s">
        <v>277</v>
      </c>
      <c r="N43" s="12">
        <v>17249</v>
      </c>
      <c r="O43" s="12">
        <v>1</v>
      </c>
      <c r="P43" s="12">
        <v>17249</v>
      </c>
      <c r="Q43" s="25" t="s">
        <v>12</v>
      </c>
      <c r="R43" s="5">
        <v>45548</v>
      </c>
      <c r="S43" s="5">
        <v>45565</v>
      </c>
      <c r="T43" s="5">
        <v>45569</v>
      </c>
      <c r="U43" s="25" t="str">
        <f>IF(sales[[#This Row],[تاريخ التسليم]]&lt;=sales[[#This Row],[ميعاد التسليم]],"on time","late")</f>
        <v>late</v>
      </c>
      <c r="V43" s="20">
        <f t="shared" si="2"/>
        <v>21</v>
      </c>
      <c r="W43" s="4" t="s">
        <v>214</v>
      </c>
      <c r="X43" s="35" t="s">
        <v>129</v>
      </c>
    </row>
    <row r="44" spans="1:24" ht="20.149999999999999" customHeight="1" x14ac:dyDescent="0.35">
      <c r="A44" s="4" t="s">
        <v>86</v>
      </c>
      <c r="B44" s="4" t="str">
        <f xml:space="preserve"> TRIM(sales[[#This Row],[أسم العميل]])</f>
        <v>ديفد بهجت</v>
      </c>
      <c r="C44" s="4" t="str">
        <f t="shared" si="1"/>
        <v>افراد</v>
      </c>
      <c r="D44" s="4" t="s">
        <v>204</v>
      </c>
      <c r="E44" s="4" t="s">
        <v>87</v>
      </c>
      <c r="F44" s="4" t="s">
        <v>5</v>
      </c>
      <c r="G44" s="4" t="s">
        <v>186</v>
      </c>
      <c r="H44" s="4" t="s">
        <v>124</v>
      </c>
      <c r="I44" s="4"/>
      <c r="J44" s="4"/>
      <c r="K44" s="4"/>
      <c r="L44" s="4"/>
      <c r="M44" s="4" t="s">
        <v>211</v>
      </c>
      <c r="N44" s="12">
        <v>8349</v>
      </c>
      <c r="O44" s="12">
        <v>1</v>
      </c>
      <c r="P44" s="12">
        <v>8349</v>
      </c>
      <c r="Q44" s="25" t="s">
        <v>12</v>
      </c>
      <c r="R44" s="5">
        <v>45549</v>
      </c>
      <c r="S44" s="5">
        <v>45581</v>
      </c>
      <c r="T44" s="5">
        <v>45586</v>
      </c>
      <c r="U44" s="25" t="str">
        <f>IF(sales[[#This Row],[تاريخ التسليم]]&lt;=sales[[#This Row],[ميعاد التسليم]],"on time","late")</f>
        <v>late</v>
      </c>
      <c r="V44" s="20">
        <f t="shared" si="2"/>
        <v>37</v>
      </c>
      <c r="W44" s="4" t="s">
        <v>214</v>
      </c>
      <c r="X44" s="35" t="s">
        <v>129</v>
      </c>
    </row>
    <row r="45" spans="1:24" ht="20.149999999999999" customHeight="1" x14ac:dyDescent="0.35">
      <c r="A45" s="4" t="s">
        <v>73</v>
      </c>
      <c r="B45" s="4" t="str">
        <f xml:space="preserve"> TRIM(sales[[#This Row],[أسم العميل]])</f>
        <v>اياد</v>
      </c>
      <c r="C45" s="4" t="str">
        <f t="shared" si="1"/>
        <v>افراد</v>
      </c>
      <c r="D45" s="4" t="s">
        <v>206</v>
      </c>
      <c r="E45" s="4" t="s">
        <v>38</v>
      </c>
      <c r="F45" s="4" t="s">
        <v>5</v>
      </c>
      <c r="G45" s="4" t="s">
        <v>186</v>
      </c>
      <c r="H45" s="4" t="s">
        <v>125</v>
      </c>
      <c r="I45" s="4"/>
      <c r="J45" s="4"/>
      <c r="K45" s="4"/>
      <c r="L45" s="4"/>
      <c r="M45" s="4" t="s">
        <v>17</v>
      </c>
      <c r="N45" s="12">
        <v>7849</v>
      </c>
      <c r="O45" s="12">
        <v>1</v>
      </c>
      <c r="P45" s="12">
        <v>7849</v>
      </c>
      <c r="Q45" s="25" t="s">
        <v>12</v>
      </c>
      <c r="R45" s="5">
        <v>45549</v>
      </c>
      <c r="S45" s="5">
        <v>45594</v>
      </c>
      <c r="T45" s="5">
        <v>45595</v>
      </c>
      <c r="U45" s="25" t="str">
        <f>IF(sales[[#This Row],[تاريخ التسليم]]&lt;=sales[[#This Row],[ميعاد التسليم]],"on time","late")</f>
        <v>late</v>
      </c>
      <c r="V45" s="20">
        <f t="shared" si="2"/>
        <v>46</v>
      </c>
      <c r="W45" s="4" t="s">
        <v>214</v>
      </c>
      <c r="X45" s="35" t="s">
        <v>129</v>
      </c>
    </row>
    <row r="46" spans="1:24" ht="20.149999999999999" customHeight="1" x14ac:dyDescent="0.35">
      <c r="A46" s="4" t="s">
        <v>74</v>
      </c>
      <c r="B46" s="4" t="str">
        <f xml:space="preserve"> TRIM(sales[[#This Row],[أسم العميل]])</f>
        <v>ميار خورشد</v>
      </c>
      <c r="C46" s="4" t="str">
        <f t="shared" si="1"/>
        <v>افراد</v>
      </c>
      <c r="D46" s="4" t="s">
        <v>204</v>
      </c>
      <c r="E46" s="4" t="s">
        <v>23</v>
      </c>
      <c r="F46" s="4" t="s">
        <v>5</v>
      </c>
      <c r="G46" s="4" t="s">
        <v>94</v>
      </c>
      <c r="H46" s="4" t="s">
        <v>95</v>
      </c>
      <c r="I46" s="4"/>
      <c r="J46" s="4"/>
      <c r="K46" s="4" t="s">
        <v>109</v>
      </c>
      <c r="L46" s="4" t="s">
        <v>109</v>
      </c>
      <c r="M46" s="4" t="s">
        <v>278</v>
      </c>
      <c r="N46" s="12">
        <v>9399</v>
      </c>
      <c r="O46" s="12">
        <v>1</v>
      </c>
      <c r="P46" s="12">
        <v>9399</v>
      </c>
      <c r="Q46" s="25" t="s">
        <v>70</v>
      </c>
      <c r="R46" s="5">
        <v>45549</v>
      </c>
      <c r="S46" s="5">
        <f t="shared" ref="S46:S51" si="3">25+R46</f>
        <v>45574</v>
      </c>
      <c r="T46" s="5">
        <v>45580</v>
      </c>
      <c r="U46" s="25" t="str">
        <f>IF(sales[[#This Row],[تاريخ التسليم]]&lt;=sales[[#This Row],[ميعاد التسليم]],"on time","late")</f>
        <v>late</v>
      </c>
      <c r="V46" s="20">
        <f t="shared" si="2"/>
        <v>31</v>
      </c>
      <c r="W46" s="4" t="s">
        <v>214</v>
      </c>
      <c r="X46" s="35" t="s">
        <v>129</v>
      </c>
    </row>
    <row r="47" spans="1:24" ht="20.149999999999999" customHeight="1" x14ac:dyDescent="0.35">
      <c r="A47" s="4" t="s">
        <v>75</v>
      </c>
      <c r="B47" s="4" t="str">
        <f xml:space="preserve"> TRIM(sales[[#This Row],[أسم العميل]])</f>
        <v>عبد الله سيد</v>
      </c>
      <c r="C47" s="4" t="str">
        <f t="shared" si="1"/>
        <v>افراد</v>
      </c>
      <c r="D47" s="4" t="s">
        <v>204</v>
      </c>
      <c r="E47" s="4" t="s">
        <v>76</v>
      </c>
      <c r="F47" s="4" t="s">
        <v>5</v>
      </c>
      <c r="G47" s="4" t="s">
        <v>94</v>
      </c>
      <c r="H47" s="4" t="s">
        <v>97</v>
      </c>
      <c r="I47" s="4" t="s">
        <v>100</v>
      </c>
      <c r="J47" s="4">
        <v>140</v>
      </c>
      <c r="K47" s="4" t="s">
        <v>109</v>
      </c>
      <c r="L47" s="4" t="s">
        <v>140</v>
      </c>
      <c r="M47" s="4" t="s">
        <v>279</v>
      </c>
      <c r="N47" s="12">
        <v>11817</v>
      </c>
      <c r="O47" s="12">
        <v>1</v>
      </c>
      <c r="P47" s="12">
        <v>11817</v>
      </c>
      <c r="Q47" s="25" t="s">
        <v>70</v>
      </c>
      <c r="R47" s="5">
        <v>45549</v>
      </c>
      <c r="S47" s="5">
        <f t="shared" si="3"/>
        <v>45574</v>
      </c>
      <c r="T47" s="5">
        <v>45580</v>
      </c>
      <c r="U47" s="25" t="str">
        <f>IF(sales[[#This Row],[تاريخ التسليم]]&lt;=sales[[#This Row],[ميعاد التسليم]],"on time","late")</f>
        <v>late</v>
      </c>
      <c r="V47" s="20">
        <f t="shared" si="2"/>
        <v>31</v>
      </c>
      <c r="W47" s="4" t="s">
        <v>214</v>
      </c>
      <c r="X47" s="35" t="s">
        <v>129</v>
      </c>
    </row>
    <row r="48" spans="1:24" ht="20.149999999999999" customHeight="1" x14ac:dyDescent="0.35">
      <c r="A48" s="4" t="s">
        <v>77</v>
      </c>
      <c r="B48" s="4" t="str">
        <f xml:space="preserve"> TRIM(sales[[#This Row],[أسم العميل]])</f>
        <v>كينج سونا</v>
      </c>
      <c r="C48" s="4" t="str">
        <f t="shared" si="1"/>
        <v>افراد</v>
      </c>
      <c r="D48" s="4" t="s">
        <v>206</v>
      </c>
      <c r="E48" s="4" t="s">
        <v>55</v>
      </c>
      <c r="F48" s="4" t="s">
        <v>5</v>
      </c>
      <c r="G48" s="4" t="s">
        <v>186</v>
      </c>
      <c r="H48" s="4" t="s">
        <v>126</v>
      </c>
      <c r="I48" s="4"/>
      <c r="J48" s="4"/>
      <c r="K48" s="4"/>
      <c r="L48" s="4"/>
      <c r="M48" s="4" t="s">
        <v>212</v>
      </c>
      <c r="N48" s="12">
        <v>8349</v>
      </c>
      <c r="O48" s="12">
        <v>1</v>
      </c>
      <c r="P48" s="12">
        <v>8349</v>
      </c>
      <c r="Q48" s="25" t="s">
        <v>70</v>
      </c>
      <c r="R48" s="5">
        <v>45549</v>
      </c>
      <c r="S48" s="5">
        <f t="shared" si="3"/>
        <v>45574</v>
      </c>
      <c r="T48" s="5">
        <v>45584</v>
      </c>
      <c r="U48" s="25" t="str">
        <f>IF(sales[[#This Row],[تاريخ التسليم]]&lt;=sales[[#This Row],[ميعاد التسليم]],"on time","late")</f>
        <v>late</v>
      </c>
      <c r="V48" s="20">
        <f t="shared" si="2"/>
        <v>35</v>
      </c>
      <c r="W48" s="4" t="s">
        <v>214</v>
      </c>
      <c r="X48" s="35" t="s">
        <v>129</v>
      </c>
    </row>
    <row r="49" spans="1:24" ht="20.149999999999999" customHeight="1" x14ac:dyDescent="0.35">
      <c r="A49" s="2" t="s">
        <v>79</v>
      </c>
      <c r="B49" s="2" t="str">
        <f xml:space="preserve"> TRIM(sales[[#This Row],[أسم العميل]])</f>
        <v>احمد خالد</v>
      </c>
      <c r="C49" s="2" t="str">
        <f t="shared" si="1"/>
        <v>افراد</v>
      </c>
      <c r="D49" s="2" t="s">
        <v>206</v>
      </c>
      <c r="E49" s="2" t="s">
        <v>80</v>
      </c>
      <c r="F49" s="2" t="s">
        <v>5</v>
      </c>
      <c r="G49" s="2" t="s">
        <v>94</v>
      </c>
      <c r="H49" s="2" t="s">
        <v>97</v>
      </c>
      <c r="I49" s="2" t="s">
        <v>117</v>
      </c>
      <c r="J49" s="2">
        <v>120</v>
      </c>
      <c r="K49" s="2" t="s">
        <v>108</v>
      </c>
      <c r="L49" s="2"/>
      <c r="M49" s="2" t="s">
        <v>264</v>
      </c>
      <c r="N49" s="11">
        <v>17886</v>
      </c>
      <c r="O49" s="11">
        <v>1</v>
      </c>
      <c r="P49" s="11">
        <v>17886</v>
      </c>
      <c r="Q49" s="29" t="s">
        <v>70</v>
      </c>
      <c r="R49" s="3">
        <v>45549</v>
      </c>
      <c r="S49" s="3">
        <f t="shared" si="3"/>
        <v>45574</v>
      </c>
      <c r="T49" s="3"/>
      <c r="U49" s="28" t="s">
        <v>281</v>
      </c>
      <c r="V49" s="22"/>
      <c r="W49" s="2" t="s">
        <v>214</v>
      </c>
      <c r="X49" s="37" t="s">
        <v>134</v>
      </c>
    </row>
    <row r="50" spans="1:24" ht="20.149999999999999" customHeight="1" x14ac:dyDescent="0.35">
      <c r="A50" s="4" t="s">
        <v>81</v>
      </c>
      <c r="B50" s="4" t="str">
        <f xml:space="preserve"> TRIM(sales[[#This Row],[أسم العميل]])</f>
        <v>ساره</v>
      </c>
      <c r="C50" s="4" t="str">
        <f t="shared" si="1"/>
        <v>افراد</v>
      </c>
      <c r="D50" s="4" t="s">
        <v>206</v>
      </c>
      <c r="E50" s="4" t="s">
        <v>42</v>
      </c>
      <c r="F50" s="4" t="s">
        <v>5</v>
      </c>
      <c r="G50" s="4" t="s">
        <v>94</v>
      </c>
      <c r="H50" s="4" t="s">
        <v>97</v>
      </c>
      <c r="I50" s="4" t="s">
        <v>100</v>
      </c>
      <c r="J50" s="4">
        <v>120</v>
      </c>
      <c r="K50" s="4" t="s">
        <v>108</v>
      </c>
      <c r="L50" s="4"/>
      <c r="M50" s="4" t="s">
        <v>265</v>
      </c>
      <c r="N50" s="12">
        <v>10987</v>
      </c>
      <c r="O50" s="12">
        <v>1</v>
      </c>
      <c r="P50" s="12">
        <v>10987</v>
      </c>
      <c r="Q50" s="25" t="s">
        <v>12</v>
      </c>
      <c r="R50" s="5">
        <v>45549</v>
      </c>
      <c r="S50" s="5">
        <f t="shared" si="3"/>
        <v>45574</v>
      </c>
      <c r="T50" s="5">
        <v>45578</v>
      </c>
      <c r="U50" s="25" t="str">
        <f>IF(sales[[#This Row],[تاريخ التسليم]]&lt;=sales[[#This Row],[ميعاد التسليم]],"on time","late")</f>
        <v>late</v>
      </c>
      <c r="V50" s="20">
        <f>T50-R50</f>
        <v>29</v>
      </c>
      <c r="W50" s="4" t="s">
        <v>214</v>
      </c>
      <c r="X50" s="35" t="s">
        <v>129</v>
      </c>
    </row>
    <row r="51" spans="1:24" ht="20.149999999999999" customHeight="1" x14ac:dyDescent="0.35">
      <c r="A51" s="4" t="s">
        <v>83</v>
      </c>
      <c r="B51" s="4" t="str">
        <f xml:space="preserve"> TRIM(sales[[#This Row],[أسم العميل]])</f>
        <v>احمد ايمن</v>
      </c>
      <c r="C51" s="4" t="str">
        <f t="shared" si="1"/>
        <v>افراد</v>
      </c>
      <c r="D51" s="4" t="s">
        <v>206</v>
      </c>
      <c r="E51" s="4" t="s">
        <v>84</v>
      </c>
      <c r="F51" s="4" t="s">
        <v>5</v>
      </c>
      <c r="G51" s="4" t="s">
        <v>186</v>
      </c>
      <c r="H51" s="4" t="s">
        <v>124</v>
      </c>
      <c r="I51" s="4"/>
      <c r="J51" s="4"/>
      <c r="K51" s="4"/>
      <c r="L51" s="4"/>
      <c r="M51" s="4" t="s">
        <v>39</v>
      </c>
      <c r="N51" s="12">
        <v>10319</v>
      </c>
      <c r="O51" s="12">
        <v>1</v>
      </c>
      <c r="P51" s="12">
        <v>10319</v>
      </c>
      <c r="Q51" s="25" t="s">
        <v>12</v>
      </c>
      <c r="R51" s="5">
        <v>45549</v>
      </c>
      <c r="S51" s="5">
        <f t="shared" si="3"/>
        <v>45574</v>
      </c>
      <c r="T51" s="5">
        <v>45584</v>
      </c>
      <c r="U51" s="25" t="str">
        <f>IF(sales[[#This Row],[تاريخ التسليم]]&lt;=sales[[#This Row],[ميعاد التسليم]],"on time","late")</f>
        <v>late</v>
      </c>
      <c r="V51" s="20">
        <f>T51-R51</f>
        <v>35</v>
      </c>
      <c r="W51" s="4" t="s">
        <v>214</v>
      </c>
      <c r="X51" s="35" t="s">
        <v>129</v>
      </c>
    </row>
    <row r="52" spans="1:24" ht="20.149999999999999" customHeight="1" x14ac:dyDescent="0.35">
      <c r="A52" s="4" t="s">
        <v>69</v>
      </c>
      <c r="B52" s="4" t="str">
        <f xml:space="preserve"> TRIM(sales[[#This Row],[أسم العميل]])</f>
        <v>مصطفي غنيم</v>
      </c>
      <c r="C52" s="4" t="str">
        <f t="shared" si="1"/>
        <v>افراد</v>
      </c>
      <c r="D52" s="4" t="s">
        <v>288</v>
      </c>
      <c r="E52" s="4" t="s">
        <v>288</v>
      </c>
      <c r="F52" s="4" t="s">
        <v>5</v>
      </c>
      <c r="G52" s="4" t="s">
        <v>94</v>
      </c>
      <c r="H52" s="4" t="s">
        <v>106</v>
      </c>
      <c r="I52" s="4" t="s">
        <v>99</v>
      </c>
      <c r="J52" s="4">
        <v>120</v>
      </c>
      <c r="K52" s="4" t="s">
        <v>113</v>
      </c>
      <c r="L52" s="4"/>
      <c r="M52" s="4" t="s">
        <v>249</v>
      </c>
      <c r="N52" s="12">
        <v>12999</v>
      </c>
      <c r="O52" s="12">
        <v>1</v>
      </c>
      <c r="P52" s="12">
        <v>12999</v>
      </c>
      <c r="Q52" s="25" t="s">
        <v>70</v>
      </c>
      <c r="R52" s="5">
        <v>45549</v>
      </c>
      <c r="S52" s="5">
        <f>15+R52</f>
        <v>45564</v>
      </c>
      <c r="T52" s="5">
        <v>45582</v>
      </c>
      <c r="U52" s="25" t="str">
        <f>IF(sales[[#This Row],[تاريخ التسليم]]&lt;=sales[[#This Row],[ميعاد التسليم]],"on time","late")</f>
        <v>late</v>
      </c>
      <c r="V52" s="20">
        <f>T52-R52</f>
        <v>33</v>
      </c>
      <c r="W52" s="4" t="s">
        <v>216</v>
      </c>
      <c r="X52" s="35" t="s">
        <v>129</v>
      </c>
    </row>
    <row r="53" spans="1:24" ht="20.149999999999999" customHeight="1" x14ac:dyDescent="0.35">
      <c r="A53" s="2" t="s">
        <v>71</v>
      </c>
      <c r="B53" s="2" t="str">
        <f xml:space="preserve"> TRIM(sales[[#This Row],[أسم العميل]])</f>
        <v>حسام عبدون</v>
      </c>
      <c r="C53" s="2" t="str">
        <f t="shared" si="1"/>
        <v>افراد</v>
      </c>
      <c r="D53" s="2" t="s">
        <v>72</v>
      </c>
      <c r="E53" s="2" t="s">
        <v>72</v>
      </c>
      <c r="F53" s="2" t="s">
        <v>5</v>
      </c>
      <c r="G53" s="2" t="s">
        <v>107</v>
      </c>
      <c r="H53" s="2" t="s">
        <v>105</v>
      </c>
      <c r="I53" s="2"/>
      <c r="J53" s="7"/>
      <c r="K53" s="7" t="s">
        <v>109</v>
      </c>
      <c r="L53" s="7" t="s">
        <v>113</v>
      </c>
      <c r="M53" s="7" t="s">
        <v>248</v>
      </c>
      <c r="N53" s="11">
        <v>21999</v>
      </c>
      <c r="O53" s="11">
        <v>4</v>
      </c>
      <c r="P53" s="11">
        <v>21999</v>
      </c>
      <c r="Q53" s="28" t="s">
        <v>12</v>
      </c>
      <c r="R53" s="6">
        <v>45549</v>
      </c>
      <c r="S53" s="6">
        <f>15+R53</f>
        <v>45564</v>
      </c>
      <c r="T53" s="3"/>
      <c r="U53" s="28" t="s">
        <v>281</v>
      </c>
      <c r="V53" s="22"/>
      <c r="W53" s="2" t="s">
        <v>214</v>
      </c>
      <c r="X53" s="37" t="s">
        <v>134</v>
      </c>
    </row>
    <row r="54" spans="1:24" ht="20.149999999999999" customHeight="1" x14ac:dyDescent="0.35">
      <c r="A54" s="4" t="s">
        <v>78</v>
      </c>
      <c r="B54" s="4" t="str">
        <f xml:space="preserve"> TRIM(sales[[#This Row],[أسم العميل]])</f>
        <v>رامى</v>
      </c>
      <c r="C54" s="4" t="str">
        <f t="shared" si="1"/>
        <v>افراد</v>
      </c>
      <c r="D54" s="4" t="s">
        <v>206</v>
      </c>
      <c r="E54" s="4" t="s">
        <v>55</v>
      </c>
      <c r="F54" s="4" t="s">
        <v>5</v>
      </c>
      <c r="G54" s="4" t="s">
        <v>94</v>
      </c>
      <c r="H54" s="4" t="s">
        <v>106</v>
      </c>
      <c r="I54" s="4" t="s">
        <v>96</v>
      </c>
      <c r="J54" s="4">
        <v>100</v>
      </c>
      <c r="K54" s="4" t="s">
        <v>113</v>
      </c>
      <c r="L54" s="4"/>
      <c r="M54" s="4" t="s">
        <v>250</v>
      </c>
      <c r="N54" s="12">
        <v>12399</v>
      </c>
      <c r="O54" s="12">
        <v>1</v>
      </c>
      <c r="P54" s="12">
        <v>12399</v>
      </c>
      <c r="Q54" s="25" t="s">
        <v>12</v>
      </c>
      <c r="R54" s="5">
        <v>45549</v>
      </c>
      <c r="S54" s="5">
        <f>15+R54</f>
        <v>45564</v>
      </c>
      <c r="T54" s="5">
        <v>45566</v>
      </c>
      <c r="U54" s="25" t="str">
        <f>IF(sales[[#This Row],[تاريخ التسليم]]&lt;=sales[[#This Row],[ميعاد التسليم]],"on time","late")</f>
        <v>late</v>
      </c>
      <c r="V54" s="20">
        <f t="shared" ref="V54:V62" si="4">T54-R54</f>
        <v>17</v>
      </c>
      <c r="W54" s="4" t="s">
        <v>216</v>
      </c>
      <c r="X54" s="35" t="s">
        <v>129</v>
      </c>
    </row>
    <row r="55" spans="1:24" ht="20.149999999999999" customHeight="1" x14ac:dyDescent="0.35">
      <c r="A55" s="4" t="s">
        <v>82</v>
      </c>
      <c r="B55" s="4" t="str">
        <f xml:space="preserve"> TRIM(sales[[#This Row],[أسم العميل]])</f>
        <v>رحاب</v>
      </c>
      <c r="C55" s="4" t="str">
        <f t="shared" si="1"/>
        <v>افراد</v>
      </c>
      <c r="D55" s="4" t="s">
        <v>206</v>
      </c>
      <c r="E55" s="4" t="s">
        <v>42</v>
      </c>
      <c r="F55" s="4" t="s">
        <v>5</v>
      </c>
      <c r="G55" s="4" t="s">
        <v>107</v>
      </c>
      <c r="H55" s="4" t="s">
        <v>105</v>
      </c>
      <c r="I55" s="4"/>
      <c r="J55" s="4"/>
      <c r="K55" s="4" t="s">
        <v>109</v>
      </c>
      <c r="L55" s="4" t="s">
        <v>113</v>
      </c>
      <c r="M55" s="4" t="s">
        <v>248</v>
      </c>
      <c r="N55" s="12">
        <v>21999</v>
      </c>
      <c r="O55" s="12">
        <v>4</v>
      </c>
      <c r="P55" s="12">
        <v>21999</v>
      </c>
      <c r="Q55" s="25" t="s">
        <v>12</v>
      </c>
      <c r="R55" s="5">
        <v>45549</v>
      </c>
      <c r="S55" s="5">
        <f>20+R55</f>
        <v>45569</v>
      </c>
      <c r="T55" s="5">
        <v>45574</v>
      </c>
      <c r="U55" s="25" t="str">
        <f>IF(sales[[#This Row],[تاريخ التسليم]]&lt;=sales[[#This Row],[ميعاد التسليم]],"on time","late")</f>
        <v>late</v>
      </c>
      <c r="V55" s="20">
        <f t="shared" si="4"/>
        <v>25</v>
      </c>
      <c r="W55" s="4" t="s">
        <v>214</v>
      </c>
      <c r="X55" s="38" t="s">
        <v>129</v>
      </c>
    </row>
    <row r="56" spans="1:24" ht="20.149999999999999" customHeight="1" x14ac:dyDescent="0.35">
      <c r="A56" s="4" t="s">
        <v>85</v>
      </c>
      <c r="B56" s="4" t="str">
        <f xml:space="preserve"> TRIM(sales[[#This Row],[أسم العميل]])</f>
        <v>فؤاد المنسي</v>
      </c>
      <c r="C56" s="4" t="str">
        <f t="shared" si="1"/>
        <v>افراد</v>
      </c>
      <c r="D56" s="4" t="s">
        <v>206</v>
      </c>
      <c r="E56" s="4" t="s">
        <v>38</v>
      </c>
      <c r="F56" s="4" t="s">
        <v>5</v>
      </c>
      <c r="G56" s="4" t="s">
        <v>94</v>
      </c>
      <c r="H56" s="4" t="s">
        <v>106</v>
      </c>
      <c r="I56" s="4" t="s">
        <v>96</v>
      </c>
      <c r="J56" s="4">
        <v>80</v>
      </c>
      <c r="K56" s="4" t="s">
        <v>108</v>
      </c>
      <c r="L56" s="4"/>
      <c r="M56" s="4" t="s">
        <v>266</v>
      </c>
      <c r="N56" s="12">
        <v>10999</v>
      </c>
      <c r="O56" s="12">
        <v>1</v>
      </c>
      <c r="P56" s="12">
        <v>10999</v>
      </c>
      <c r="Q56" s="25" t="s">
        <v>70</v>
      </c>
      <c r="R56" s="5">
        <v>45549</v>
      </c>
      <c r="S56" s="5">
        <f>20+R56</f>
        <v>45569</v>
      </c>
      <c r="T56" s="5">
        <v>45581</v>
      </c>
      <c r="U56" s="25" t="str">
        <f>IF(sales[[#This Row],[تاريخ التسليم]]&lt;=sales[[#This Row],[ميعاد التسليم]],"on time","late")</f>
        <v>late</v>
      </c>
      <c r="V56" s="20">
        <f t="shared" si="4"/>
        <v>32</v>
      </c>
      <c r="W56" s="4" t="s">
        <v>214</v>
      </c>
      <c r="X56" s="38" t="s">
        <v>129</v>
      </c>
    </row>
    <row r="57" spans="1:24" ht="20.149999999999999" customHeight="1" x14ac:dyDescent="0.35">
      <c r="A57" s="10" t="s">
        <v>120</v>
      </c>
      <c r="B57" s="10" t="str">
        <f xml:space="preserve"> TRIM(sales[[#This Row],[أسم العميل]])</f>
        <v>mohannad</v>
      </c>
      <c r="C57" s="10" t="str">
        <f t="shared" si="1"/>
        <v>افراد</v>
      </c>
      <c r="D57" s="4" t="s">
        <v>206</v>
      </c>
      <c r="E57" s="10" t="s">
        <v>121</v>
      </c>
      <c r="F57" s="4" t="s">
        <v>5</v>
      </c>
      <c r="G57" s="4" t="s">
        <v>94</v>
      </c>
      <c r="H57" s="4" t="s">
        <v>106</v>
      </c>
      <c r="I57" s="4" t="s">
        <v>99</v>
      </c>
      <c r="J57" s="20">
        <v>80</v>
      </c>
      <c r="K57" s="4" t="s">
        <v>108</v>
      </c>
      <c r="L57" s="4"/>
      <c r="M57" s="4"/>
      <c r="N57" s="12">
        <v>10999</v>
      </c>
      <c r="O57" s="12">
        <v>1</v>
      </c>
      <c r="P57" s="12">
        <v>10999</v>
      </c>
      <c r="Q57" s="25" t="s">
        <v>70</v>
      </c>
      <c r="R57" s="5">
        <v>45550</v>
      </c>
      <c r="S57" s="5">
        <f>20+R57</f>
        <v>45570</v>
      </c>
      <c r="T57" s="5">
        <v>45581</v>
      </c>
      <c r="U57" s="25" t="str">
        <f>IF(sales[[#This Row],[تاريخ التسليم]]&lt;=sales[[#This Row],[ميعاد التسليم]],"on time","late")</f>
        <v>late</v>
      </c>
      <c r="V57" s="20">
        <f t="shared" si="4"/>
        <v>31</v>
      </c>
      <c r="W57" s="4" t="s">
        <v>214</v>
      </c>
      <c r="X57" s="38" t="s">
        <v>129</v>
      </c>
    </row>
    <row r="58" spans="1:24" ht="20.149999999999999" customHeight="1" x14ac:dyDescent="0.35">
      <c r="A58" s="10" t="s">
        <v>122</v>
      </c>
      <c r="B58" s="10" t="str">
        <f xml:space="preserve"> TRIM(sales[[#This Row],[أسم العميل]])</f>
        <v>Mohamed Ayman</v>
      </c>
      <c r="C58" s="10" t="str">
        <f t="shared" si="1"/>
        <v>افراد</v>
      </c>
      <c r="D58" s="4" t="s">
        <v>206</v>
      </c>
      <c r="E58" s="10" t="s">
        <v>123</v>
      </c>
      <c r="F58" s="4" t="s">
        <v>5</v>
      </c>
      <c r="G58" s="4" t="s">
        <v>107</v>
      </c>
      <c r="H58" s="4" t="s">
        <v>105</v>
      </c>
      <c r="I58" s="4"/>
      <c r="J58" s="20"/>
      <c r="K58" s="4" t="s">
        <v>109</v>
      </c>
      <c r="L58" s="4" t="s">
        <v>113</v>
      </c>
      <c r="M58" s="4"/>
      <c r="N58" s="12">
        <v>21999</v>
      </c>
      <c r="O58" s="12">
        <v>4</v>
      </c>
      <c r="P58" s="12">
        <v>21999</v>
      </c>
      <c r="Q58" s="25" t="s">
        <v>70</v>
      </c>
      <c r="R58" s="5">
        <v>45550</v>
      </c>
      <c r="S58" s="5">
        <f>20+R58</f>
        <v>45570</v>
      </c>
      <c r="T58" s="5">
        <v>45584</v>
      </c>
      <c r="U58" s="25" t="str">
        <f>IF(sales[[#This Row],[تاريخ التسليم]]&lt;=sales[[#This Row],[ميعاد التسليم]],"on time","late")</f>
        <v>late</v>
      </c>
      <c r="V58" s="20">
        <f t="shared" si="4"/>
        <v>34</v>
      </c>
      <c r="W58" s="4" t="s">
        <v>214</v>
      </c>
      <c r="X58" s="35" t="s">
        <v>129</v>
      </c>
    </row>
    <row r="59" spans="1:24" ht="20.149999999999999" customHeight="1" x14ac:dyDescent="0.35">
      <c r="A59" s="4" t="s">
        <v>128</v>
      </c>
      <c r="B59" s="4" t="str">
        <f xml:space="preserve"> TRIM(sales[[#This Row],[أسم العميل]])</f>
        <v>اسامه</v>
      </c>
      <c r="C59" s="4" t="str">
        <f t="shared" si="1"/>
        <v>افراد</v>
      </c>
      <c r="D59" s="4" t="s">
        <v>90</v>
      </c>
      <c r="E59" s="4" t="s">
        <v>90</v>
      </c>
      <c r="F59" s="4" t="s">
        <v>5</v>
      </c>
      <c r="G59" s="4" t="s">
        <v>186</v>
      </c>
      <c r="H59" s="4" t="s">
        <v>124</v>
      </c>
      <c r="I59" s="4"/>
      <c r="J59" s="20"/>
      <c r="K59" s="4"/>
      <c r="L59" s="4"/>
      <c r="M59" s="4"/>
      <c r="N59" s="20">
        <v>6306</v>
      </c>
      <c r="O59" s="12">
        <v>1</v>
      </c>
      <c r="P59" s="12">
        <v>0</v>
      </c>
      <c r="Q59" s="25" t="s">
        <v>222</v>
      </c>
      <c r="R59" s="5">
        <v>45551</v>
      </c>
      <c r="S59" s="5">
        <f>20+R59</f>
        <v>45571</v>
      </c>
      <c r="T59" s="5">
        <v>45610</v>
      </c>
      <c r="U59" s="25" t="str">
        <f>IF(sales[[#This Row],[تاريخ التسليم]]&lt;=sales[[#This Row],[ميعاد التسليم]],"on time","late")</f>
        <v>late</v>
      </c>
      <c r="V59" s="20">
        <f t="shared" si="4"/>
        <v>59</v>
      </c>
      <c r="W59" s="4" t="s">
        <v>216</v>
      </c>
      <c r="X59" s="35" t="s">
        <v>129</v>
      </c>
    </row>
    <row r="60" spans="1:24" ht="20.149999999999999" customHeight="1" x14ac:dyDescent="0.35">
      <c r="A60" s="4" t="s">
        <v>52</v>
      </c>
      <c r="B60" s="4" t="str">
        <f xml:space="preserve"> TRIM(sales[[#This Row],[أسم العميل]])</f>
        <v>اوسكار راتن</v>
      </c>
      <c r="C60" s="4" t="str">
        <f t="shared" si="1"/>
        <v>شركات</v>
      </c>
      <c r="D60" s="4" t="s">
        <v>208</v>
      </c>
      <c r="E60" s="4" t="s">
        <v>130</v>
      </c>
      <c r="F60" s="4" t="s">
        <v>34</v>
      </c>
      <c r="G60" s="4" t="s">
        <v>94</v>
      </c>
      <c r="H60" s="4" t="s">
        <v>106</v>
      </c>
      <c r="I60" s="4" t="s">
        <v>99</v>
      </c>
      <c r="J60" s="20">
        <v>80</v>
      </c>
      <c r="K60" s="4" t="s">
        <v>108</v>
      </c>
      <c r="L60" s="4"/>
      <c r="M60" s="4"/>
      <c r="N60" s="12">
        <v>5074</v>
      </c>
      <c r="O60" s="12">
        <v>1</v>
      </c>
      <c r="P60" s="12">
        <v>0</v>
      </c>
      <c r="Q60" s="25" t="s">
        <v>54</v>
      </c>
      <c r="R60" s="5">
        <v>45556</v>
      </c>
      <c r="S60" s="5">
        <v>45570</v>
      </c>
      <c r="T60" s="5">
        <v>45577</v>
      </c>
      <c r="U60" s="25" t="str">
        <f>IF(sales[[#This Row],[تاريخ التسليم]]&lt;=sales[[#This Row],[ميعاد التسليم]],"on time","late")</f>
        <v>late</v>
      </c>
      <c r="V60" s="20">
        <f t="shared" si="4"/>
        <v>21</v>
      </c>
      <c r="W60" s="4" t="s">
        <v>214</v>
      </c>
      <c r="X60" s="38" t="s">
        <v>129</v>
      </c>
    </row>
    <row r="61" spans="1:24" ht="20.149999999999999" customHeight="1" x14ac:dyDescent="0.35">
      <c r="A61" s="4" t="s">
        <v>25</v>
      </c>
      <c r="B61" s="4" t="str">
        <f xml:space="preserve"> TRIM(sales[[#This Row],[أسم العميل]])</f>
        <v>تاكى</v>
      </c>
      <c r="C61" s="4" t="str">
        <f t="shared" si="1"/>
        <v>شركات</v>
      </c>
      <c r="D61" s="4" t="s">
        <v>206</v>
      </c>
      <c r="E61" s="4" t="s">
        <v>24</v>
      </c>
      <c r="F61" s="4" t="s">
        <v>25</v>
      </c>
      <c r="G61" s="4" t="s">
        <v>94</v>
      </c>
      <c r="H61" s="4" t="s">
        <v>106</v>
      </c>
      <c r="I61" s="4" t="s">
        <v>98</v>
      </c>
      <c r="J61" s="20">
        <v>100</v>
      </c>
      <c r="K61" s="4" t="s">
        <v>109</v>
      </c>
      <c r="L61" s="4" t="s">
        <v>225</v>
      </c>
      <c r="M61" s="4"/>
      <c r="N61" s="12">
        <v>6250</v>
      </c>
      <c r="O61" s="12">
        <v>1</v>
      </c>
      <c r="P61" s="12">
        <v>0</v>
      </c>
      <c r="Q61" s="25" t="s">
        <v>54</v>
      </c>
      <c r="R61" s="5">
        <v>45558</v>
      </c>
      <c r="S61" s="5">
        <v>45573</v>
      </c>
      <c r="T61" s="5">
        <v>45582</v>
      </c>
      <c r="U61" s="25" t="str">
        <f>IF(sales[[#This Row],[تاريخ التسليم]]&lt;=sales[[#This Row],[ميعاد التسليم]],"on time","late")</f>
        <v>late</v>
      </c>
      <c r="V61" s="20">
        <f t="shared" si="4"/>
        <v>24</v>
      </c>
      <c r="W61" s="4" t="s">
        <v>214</v>
      </c>
      <c r="X61" s="38" t="s">
        <v>129</v>
      </c>
    </row>
    <row r="62" spans="1:24" ht="20.149999999999999" customHeight="1" x14ac:dyDescent="0.35">
      <c r="A62" s="4" t="s">
        <v>131</v>
      </c>
      <c r="B62" s="4" t="str">
        <f xml:space="preserve"> TRIM(sales[[#This Row],[أسم العميل]])</f>
        <v>ولاء بدوى</v>
      </c>
      <c r="C62" s="4" t="str">
        <f t="shared" si="1"/>
        <v>افراد</v>
      </c>
      <c r="D62" s="4" t="s">
        <v>206</v>
      </c>
      <c r="E62" s="4" t="s">
        <v>24</v>
      </c>
      <c r="F62" s="4" t="s">
        <v>5</v>
      </c>
      <c r="G62" s="4" t="s">
        <v>94</v>
      </c>
      <c r="H62" s="4" t="s">
        <v>97</v>
      </c>
      <c r="I62" s="4" t="s">
        <v>117</v>
      </c>
      <c r="J62" s="20">
        <v>120</v>
      </c>
      <c r="K62" s="4" t="s">
        <v>108</v>
      </c>
      <c r="L62" s="4"/>
      <c r="M62" s="4"/>
      <c r="N62" s="20">
        <v>9033</v>
      </c>
      <c r="O62" s="12">
        <v>1</v>
      </c>
      <c r="P62" s="12">
        <v>0</v>
      </c>
      <c r="Q62" s="25" t="s">
        <v>222</v>
      </c>
      <c r="R62" s="5">
        <v>45561</v>
      </c>
      <c r="S62" s="5">
        <f>15+R62</f>
        <v>45576</v>
      </c>
      <c r="T62" s="5">
        <v>45575</v>
      </c>
      <c r="U62" s="25" t="str">
        <f>IF(sales[[#This Row],[تاريخ التسليم]]&lt;=sales[[#This Row],[ميعاد التسليم]],"on time","late")</f>
        <v>on time</v>
      </c>
      <c r="V62" s="20">
        <f t="shared" si="4"/>
        <v>14</v>
      </c>
      <c r="W62" s="4" t="s">
        <v>214</v>
      </c>
      <c r="X62" s="38" t="s">
        <v>129</v>
      </c>
    </row>
    <row r="63" spans="1:24" ht="20.149999999999999" customHeight="1" x14ac:dyDescent="0.35">
      <c r="A63" s="7" t="s">
        <v>132</v>
      </c>
      <c r="B63" s="7" t="str">
        <f xml:space="preserve"> TRIM(sales[[#This Row],[أسم العميل]])</f>
        <v>عبد الرحمن يسري</v>
      </c>
      <c r="C63" s="7" t="str">
        <f t="shared" si="1"/>
        <v>افراد</v>
      </c>
      <c r="D63" s="7" t="s">
        <v>204</v>
      </c>
      <c r="E63" s="7" t="s">
        <v>133</v>
      </c>
      <c r="F63" s="7" t="s">
        <v>5</v>
      </c>
      <c r="G63" s="7" t="s">
        <v>186</v>
      </c>
      <c r="H63" s="7" t="s">
        <v>126</v>
      </c>
      <c r="I63" s="7"/>
      <c r="J63" s="21"/>
      <c r="K63" s="7"/>
      <c r="L63" s="7"/>
      <c r="M63" s="2"/>
      <c r="N63" s="22">
        <v>8433</v>
      </c>
      <c r="O63" s="11">
        <v>1</v>
      </c>
      <c r="P63" s="11">
        <v>0</v>
      </c>
      <c r="Q63" s="29" t="s">
        <v>222</v>
      </c>
      <c r="R63" s="3">
        <v>45561</v>
      </c>
      <c r="S63" s="3">
        <f>20+R63</f>
        <v>45581</v>
      </c>
      <c r="T63" s="3"/>
      <c r="U63" s="28" t="s">
        <v>281</v>
      </c>
      <c r="V63" s="22"/>
      <c r="W63" s="2" t="s">
        <v>214</v>
      </c>
      <c r="X63" s="37" t="s">
        <v>134</v>
      </c>
    </row>
    <row r="64" spans="1:24" ht="20.149999999999999" customHeight="1" x14ac:dyDescent="0.35">
      <c r="A64" s="4" t="s">
        <v>31</v>
      </c>
      <c r="B64" s="4" t="str">
        <f xml:space="preserve"> TRIM(sales[[#This Row],[أسم العميل]])</f>
        <v>شيك هومز</v>
      </c>
      <c r="C64" s="4" t="str">
        <f t="shared" si="1"/>
        <v>شركات</v>
      </c>
      <c r="D64" s="4" t="s">
        <v>206</v>
      </c>
      <c r="E64" s="4" t="s">
        <v>148</v>
      </c>
      <c r="F64" s="4" t="s">
        <v>31</v>
      </c>
      <c r="G64" s="4" t="s">
        <v>107</v>
      </c>
      <c r="H64" s="4" t="s">
        <v>105</v>
      </c>
      <c r="I64" s="4"/>
      <c r="J64" s="20"/>
      <c r="K64" s="4"/>
      <c r="L64" s="4" t="s">
        <v>142</v>
      </c>
      <c r="M64" s="4"/>
      <c r="N64" s="12">
        <v>14950</v>
      </c>
      <c r="O64" s="12">
        <v>4</v>
      </c>
      <c r="P64" s="12">
        <v>14950</v>
      </c>
      <c r="Q64" s="25" t="s">
        <v>12</v>
      </c>
      <c r="R64" s="5">
        <v>45561</v>
      </c>
      <c r="S64" s="5">
        <v>45579</v>
      </c>
      <c r="T64" s="5">
        <v>45578</v>
      </c>
      <c r="U64" s="25" t="str">
        <f>IF(sales[[#This Row],[تاريخ التسليم]]&lt;=sales[[#This Row],[ميعاد التسليم]],"on time","late")</f>
        <v>on time</v>
      </c>
      <c r="V64" s="20">
        <f>T64-R64</f>
        <v>17</v>
      </c>
      <c r="W64" s="4" t="s">
        <v>214</v>
      </c>
      <c r="X64" s="35" t="s">
        <v>129</v>
      </c>
    </row>
    <row r="65" spans="1:24" ht="20.149999999999999" customHeight="1" x14ac:dyDescent="0.35">
      <c r="A65" s="2" t="s">
        <v>31</v>
      </c>
      <c r="B65" s="2" t="str">
        <f xml:space="preserve"> TRIM(sales[[#This Row],[أسم العميل]])</f>
        <v>شيك هومز</v>
      </c>
      <c r="C65" s="2" t="str">
        <f t="shared" si="1"/>
        <v>شركات</v>
      </c>
      <c r="D65" s="2" t="s">
        <v>206</v>
      </c>
      <c r="E65" s="2"/>
      <c r="F65" s="2" t="s">
        <v>31</v>
      </c>
      <c r="G65" s="2" t="s">
        <v>94</v>
      </c>
      <c r="H65" s="2" t="s">
        <v>106</v>
      </c>
      <c r="I65" s="2" t="s">
        <v>98</v>
      </c>
      <c r="J65" s="22">
        <v>100</v>
      </c>
      <c r="K65" s="2" t="s">
        <v>109</v>
      </c>
      <c r="L65" s="2"/>
      <c r="M65" s="2"/>
      <c r="N65" s="22">
        <v>9608</v>
      </c>
      <c r="O65" s="11">
        <v>1</v>
      </c>
      <c r="P65" s="11">
        <v>0</v>
      </c>
      <c r="Q65" s="29" t="s">
        <v>222</v>
      </c>
      <c r="R65" s="3">
        <v>45561</v>
      </c>
      <c r="S65" s="3">
        <v>45579</v>
      </c>
      <c r="T65" s="3"/>
      <c r="U65" s="28" t="s">
        <v>281</v>
      </c>
      <c r="V65" s="22"/>
      <c r="W65" s="2" t="s">
        <v>214</v>
      </c>
      <c r="X65" s="37" t="s">
        <v>134</v>
      </c>
    </row>
    <row r="66" spans="1:24" ht="20.149999999999999" customHeight="1" x14ac:dyDescent="0.35">
      <c r="A66" s="4" t="s">
        <v>31</v>
      </c>
      <c r="B66" s="4" t="str">
        <f xml:space="preserve"> TRIM(sales[[#This Row],[أسم العميل]])</f>
        <v>شيك هومز</v>
      </c>
      <c r="C66" s="4" t="str">
        <f t="shared" ref="C66:C97" si="5">IF(OR(B66="شيك هومز", B66="تاكى", B66="اوسكار راتن", B66="هومزمارت"), "شركات", "افراد")</f>
        <v>شركات</v>
      </c>
      <c r="D66" s="4" t="s">
        <v>206</v>
      </c>
      <c r="E66" s="4"/>
      <c r="F66" s="4" t="s">
        <v>31</v>
      </c>
      <c r="G66" s="4" t="s">
        <v>94</v>
      </c>
      <c r="H66" s="4" t="s">
        <v>97</v>
      </c>
      <c r="I66" s="4" t="s">
        <v>100</v>
      </c>
      <c r="J66" s="20">
        <v>120</v>
      </c>
      <c r="K66" s="4" t="s">
        <v>108</v>
      </c>
      <c r="L66" s="4"/>
      <c r="M66" s="4"/>
      <c r="N66" s="12">
        <v>7433</v>
      </c>
      <c r="O66" s="12">
        <v>1</v>
      </c>
      <c r="P66" s="12">
        <v>7433</v>
      </c>
      <c r="Q66" s="25" t="s">
        <v>12</v>
      </c>
      <c r="R66" s="5">
        <v>45564</v>
      </c>
      <c r="S66" s="5">
        <v>45585</v>
      </c>
      <c r="T66" s="5">
        <v>45586</v>
      </c>
      <c r="U66" s="25" t="str">
        <f>IF(sales[[#This Row],[تاريخ التسليم]]&lt;=sales[[#This Row],[ميعاد التسليم]],"on time","late")</f>
        <v>late</v>
      </c>
      <c r="V66" s="20">
        <f t="shared" ref="V66:V71" si="6">T66-R66</f>
        <v>22</v>
      </c>
      <c r="W66" s="4" t="s">
        <v>214</v>
      </c>
      <c r="X66" s="35" t="s">
        <v>129</v>
      </c>
    </row>
    <row r="67" spans="1:24" ht="20.149999999999999" customHeight="1" x14ac:dyDescent="0.35">
      <c r="A67" s="4" t="s">
        <v>52</v>
      </c>
      <c r="B67" s="4" t="str">
        <f xml:space="preserve"> TRIM(sales[[#This Row],[أسم العميل]])</f>
        <v>اوسكار راتن</v>
      </c>
      <c r="C67" s="4" t="str">
        <f t="shared" si="5"/>
        <v>شركات</v>
      </c>
      <c r="D67" s="4" t="s">
        <v>208</v>
      </c>
      <c r="E67" s="4" t="s">
        <v>130</v>
      </c>
      <c r="F67" s="4" t="s">
        <v>34</v>
      </c>
      <c r="G67" s="4" t="s">
        <v>94</v>
      </c>
      <c r="H67" s="4" t="s">
        <v>97</v>
      </c>
      <c r="I67" s="4" t="s">
        <v>117</v>
      </c>
      <c r="J67" s="20">
        <v>120</v>
      </c>
      <c r="K67" s="4" t="s">
        <v>108</v>
      </c>
      <c r="L67" s="4"/>
      <c r="M67" s="4"/>
      <c r="N67" s="12">
        <v>4020</v>
      </c>
      <c r="O67" s="12">
        <v>1</v>
      </c>
      <c r="P67" s="12">
        <v>0</v>
      </c>
      <c r="Q67" s="25" t="s">
        <v>54</v>
      </c>
      <c r="R67" s="5">
        <v>45564</v>
      </c>
      <c r="S67" s="5">
        <v>45577</v>
      </c>
      <c r="T67" s="5">
        <v>45577</v>
      </c>
      <c r="U67" s="25" t="str">
        <f>IF(sales[[#This Row],[تاريخ التسليم]]&lt;=sales[[#This Row],[ميعاد التسليم]],"on time","late")</f>
        <v>on time</v>
      </c>
      <c r="V67" s="20">
        <f t="shared" si="6"/>
        <v>13</v>
      </c>
      <c r="W67" s="4" t="s">
        <v>214</v>
      </c>
      <c r="X67" s="38" t="s">
        <v>129</v>
      </c>
    </row>
    <row r="68" spans="1:24" ht="20.149999999999999" customHeight="1" x14ac:dyDescent="0.35">
      <c r="A68" s="4" t="s">
        <v>135</v>
      </c>
      <c r="B68" s="4" t="str">
        <f xml:space="preserve"> TRIM(sales[[#This Row],[أسم العميل]])</f>
        <v>الحج محمد السويس</v>
      </c>
      <c r="C68" s="4" t="str">
        <f t="shared" si="5"/>
        <v>افراد</v>
      </c>
      <c r="D68" s="4" t="s">
        <v>136</v>
      </c>
      <c r="E68" s="4" t="s">
        <v>136</v>
      </c>
      <c r="F68" s="4" t="s">
        <v>223</v>
      </c>
      <c r="G68" s="4" t="s">
        <v>94</v>
      </c>
      <c r="H68" s="4" t="s">
        <v>106</v>
      </c>
      <c r="I68" s="4" t="s">
        <v>137</v>
      </c>
      <c r="J68" s="20">
        <v>100</v>
      </c>
      <c r="K68" s="4" t="s">
        <v>138</v>
      </c>
      <c r="L68" s="4"/>
      <c r="M68" s="4"/>
      <c r="N68" s="12">
        <v>8544.9054400000005</v>
      </c>
      <c r="O68" s="12">
        <v>1</v>
      </c>
      <c r="P68" s="12">
        <v>0</v>
      </c>
      <c r="Q68" s="25" t="s">
        <v>222</v>
      </c>
      <c r="R68" s="5">
        <v>45566</v>
      </c>
      <c r="S68" s="5">
        <v>45574</v>
      </c>
      <c r="T68" s="5">
        <v>45574</v>
      </c>
      <c r="U68" s="25" t="str">
        <f>IF(sales[[#This Row],[تاريخ التسليم]]&lt;=sales[[#This Row],[ميعاد التسليم]],"on time","late")</f>
        <v>on time</v>
      </c>
      <c r="V68" s="20">
        <f t="shared" si="6"/>
        <v>8</v>
      </c>
      <c r="W68" s="4" t="s">
        <v>217</v>
      </c>
      <c r="X68" s="35" t="s">
        <v>129</v>
      </c>
    </row>
    <row r="69" spans="1:24" ht="20.149999999999999" customHeight="1" x14ac:dyDescent="0.35">
      <c r="A69" s="4" t="s">
        <v>135</v>
      </c>
      <c r="B69" s="4" t="str">
        <f xml:space="preserve"> TRIM(sales[[#This Row],[أسم العميل]])</f>
        <v>الحج محمد السويس</v>
      </c>
      <c r="C69" s="4" t="str">
        <f t="shared" si="5"/>
        <v>افراد</v>
      </c>
      <c r="D69" s="4" t="s">
        <v>136</v>
      </c>
      <c r="E69" s="4" t="s">
        <v>136</v>
      </c>
      <c r="F69" s="4" t="s">
        <v>223</v>
      </c>
      <c r="G69" s="4" t="s">
        <v>94</v>
      </c>
      <c r="H69" s="4" t="s">
        <v>95</v>
      </c>
      <c r="I69" s="4"/>
      <c r="J69" s="20"/>
      <c r="K69" s="4" t="s">
        <v>109</v>
      </c>
      <c r="L69" s="4" t="s">
        <v>140</v>
      </c>
      <c r="M69" s="4"/>
      <c r="N69" s="12">
        <v>4600</v>
      </c>
      <c r="O69" s="12">
        <v>1</v>
      </c>
      <c r="P69" s="12">
        <v>0</v>
      </c>
      <c r="Q69" s="25" t="s">
        <v>222</v>
      </c>
      <c r="R69" s="5">
        <v>45566</v>
      </c>
      <c r="S69" s="5">
        <v>45574</v>
      </c>
      <c r="T69" s="5">
        <v>45574</v>
      </c>
      <c r="U69" s="25" t="str">
        <f>IF(sales[[#This Row],[تاريخ التسليم]]&lt;=sales[[#This Row],[ميعاد التسليم]],"on time","late")</f>
        <v>on time</v>
      </c>
      <c r="V69" s="20">
        <f t="shared" si="6"/>
        <v>8</v>
      </c>
      <c r="W69" s="4" t="s">
        <v>217</v>
      </c>
      <c r="X69" s="35" t="s">
        <v>129</v>
      </c>
    </row>
    <row r="70" spans="1:24" ht="20.149999999999999" customHeight="1" x14ac:dyDescent="0.35">
      <c r="A70" s="4" t="s">
        <v>135</v>
      </c>
      <c r="B70" s="4" t="str">
        <f xml:space="preserve"> TRIM(sales[[#This Row],[أسم العميل]])</f>
        <v>الحج محمد السويس</v>
      </c>
      <c r="C70" s="4" t="str">
        <f t="shared" si="5"/>
        <v>افراد</v>
      </c>
      <c r="D70" s="4" t="s">
        <v>136</v>
      </c>
      <c r="E70" s="4" t="s">
        <v>136</v>
      </c>
      <c r="F70" s="4" t="s">
        <v>223</v>
      </c>
      <c r="G70" s="4" t="s">
        <v>107</v>
      </c>
      <c r="H70" s="4" t="s">
        <v>139</v>
      </c>
      <c r="I70" s="4"/>
      <c r="J70" s="20"/>
      <c r="K70" s="4" t="s">
        <v>109</v>
      </c>
      <c r="L70" s="4" t="s">
        <v>226</v>
      </c>
      <c r="M70" s="4"/>
      <c r="N70" s="12">
        <v>10000</v>
      </c>
      <c r="O70" s="12">
        <v>1</v>
      </c>
      <c r="P70" s="12">
        <v>0</v>
      </c>
      <c r="Q70" s="25" t="s">
        <v>222</v>
      </c>
      <c r="R70" s="5">
        <v>45566</v>
      </c>
      <c r="S70" s="5">
        <v>45574</v>
      </c>
      <c r="T70" s="5">
        <v>45574</v>
      </c>
      <c r="U70" s="25" t="str">
        <f>IF(sales[[#This Row],[تاريخ التسليم]]&lt;=sales[[#This Row],[ميعاد التسليم]],"on time","late")</f>
        <v>on time</v>
      </c>
      <c r="V70" s="20">
        <f t="shared" si="6"/>
        <v>8</v>
      </c>
      <c r="W70" s="4" t="s">
        <v>217</v>
      </c>
      <c r="X70" s="35" t="s">
        <v>129</v>
      </c>
    </row>
    <row r="71" spans="1:24" ht="20.149999999999999" customHeight="1" x14ac:dyDescent="0.35">
      <c r="A71" s="4" t="s">
        <v>135</v>
      </c>
      <c r="B71" s="4" t="str">
        <f xml:space="preserve"> TRIM(sales[[#This Row],[أسم العميل]])</f>
        <v>الحج محمد السويس</v>
      </c>
      <c r="C71" s="4" t="str">
        <f t="shared" si="5"/>
        <v>افراد</v>
      </c>
      <c r="D71" s="4" t="s">
        <v>136</v>
      </c>
      <c r="E71" s="4" t="s">
        <v>136</v>
      </c>
      <c r="F71" s="4" t="s">
        <v>223</v>
      </c>
      <c r="G71" s="4" t="s">
        <v>141</v>
      </c>
      <c r="H71" s="4"/>
      <c r="I71" s="4"/>
      <c r="J71" s="20"/>
      <c r="K71" s="4" t="s">
        <v>109</v>
      </c>
      <c r="L71" s="4" t="s">
        <v>142</v>
      </c>
      <c r="M71" s="4"/>
      <c r="N71" s="12"/>
      <c r="O71" s="12">
        <v>1</v>
      </c>
      <c r="P71" s="12"/>
      <c r="Q71" s="25"/>
      <c r="R71" s="5">
        <v>45566</v>
      </c>
      <c r="S71" s="5">
        <v>45574</v>
      </c>
      <c r="T71" s="5">
        <v>45574</v>
      </c>
      <c r="U71" s="25" t="str">
        <f>IF(sales[[#This Row],[تاريخ التسليم]]&lt;=sales[[#This Row],[ميعاد التسليم]],"on time","late")</f>
        <v>on time</v>
      </c>
      <c r="V71" s="20">
        <f t="shared" si="6"/>
        <v>8</v>
      </c>
      <c r="W71" s="4" t="s">
        <v>217</v>
      </c>
      <c r="X71" s="35" t="s">
        <v>129</v>
      </c>
    </row>
    <row r="72" spans="1:24" ht="20.149999999999999" customHeight="1" x14ac:dyDescent="0.35">
      <c r="A72" s="2" t="s">
        <v>143</v>
      </c>
      <c r="B72" s="2" t="str">
        <f xml:space="preserve"> TRIM(sales[[#This Row],[أسم العميل]])</f>
        <v>عمرو الأسود</v>
      </c>
      <c r="C72" s="2" t="str">
        <f t="shared" si="5"/>
        <v>افراد</v>
      </c>
      <c r="D72" s="4" t="s">
        <v>206</v>
      </c>
      <c r="E72" s="2" t="s">
        <v>144</v>
      </c>
      <c r="F72" s="2" t="s">
        <v>5</v>
      </c>
      <c r="G72" s="2" t="s">
        <v>94</v>
      </c>
      <c r="H72" s="2" t="s">
        <v>95</v>
      </c>
      <c r="I72" s="2"/>
      <c r="J72" s="22"/>
      <c r="K72" s="2" t="s">
        <v>109</v>
      </c>
      <c r="L72" s="2" t="s">
        <v>109</v>
      </c>
      <c r="M72" s="2"/>
      <c r="N72" s="22">
        <v>8988</v>
      </c>
      <c r="O72" s="11"/>
      <c r="P72" s="11"/>
      <c r="Q72" s="29" t="s">
        <v>222</v>
      </c>
      <c r="R72" s="3">
        <v>45568</v>
      </c>
      <c r="S72" s="3">
        <f>10+R72</f>
        <v>45578</v>
      </c>
      <c r="T72" s="3"/>
      <c r="U72" s="28" t="s">
        <v>281</v>
      </c>
      <c r="V72" s="22"/>
      <c r="W72" s="2" t="s">
        <v>214</v>
      </c>
      <c r="X72" s="37" t="s">
        <v>134</v>
      </c>
    </row>
    <row r="73" spans="1:24" ht="20.149999999999999" customHeight="1" x14ac:dyDescent="0.35">
      <c r="A73" s="4" t="s">
        <v>31</v>
      </c>
      <c r="B73" s="4" t="str">
        <f xml:space="preserve"> TRIM(sales[[#This Row],[أسم العميل]])</f>
        <v>شيك هومز</v>
      </c>
      <c r="C73" s="4" t="str">
        <f t="shared" si="5"/>
        <v>شركات</v>
      </c>
      <c r="D73" s="4" t="s">
        <v>206</v>
      </c>
      <c r="E73" s="4" t="s">
        <v>145</v>
      </c>
      <c r="F73" s="4" t="s">
        <v>31</v>
      </c>
      <c r="G73" s="4" t="s">
        <v>107</v>
      </c>
      <c r="H73" s="4" t="s">
        <v>105</v>
      </c>
      <c r="I73" s="4"/>
      <c r="J73" s="20"/>
      <c r="K73" s="4" t="s">
        <v>109</v>
      </c>
      <c r="L73" s="4" t="s">
        <v>146</v>
      </c>
      <c r="M73" s="4"/>
      <c r="N73" s="12">
        <v>14550</v>
      </c>
      <c r="O73" s="12">
        <v>4</v>
      </c>
      <c r="P73" s="12">
        <v>14550</v>
      </c>
      <c r="Q73" s="25" t="s">
        <v>12</v>
      </c>
      <c r="R73" s="5">
        <v>45573</v>
      </c>
      <c r="S73" s="5">
        <v>45594</v>
      </c>
      <c r="T73" s="5">
        <v>45595</v>
      </c>
      <c r="U73" s="25" t="str">
        <f>IF(sales[[#This Row],[تاريخ التسليم]]&lt;=sales[[#This Row],[ميعاد التسليم]],"on time","late")</f>
        <v>late</v>
      </c>
      <c r="V73" s="20">
        <f t="shared" ref="V73:V80" si="7">T73-R73</f>
        <v>22</v>
      </c>
      <c r="W73" s="4" t="s">
        <v>214</v>
      </c>
      <c r="X73" s="35" t="s">
        <v>129</v>
      </c>
    </row>
    <row r="74" spans="1:24" ht="20.149999999999999" customHeight="1" x14ac:dyDescent="0.35">
      <c r="A74" s="4" t="s">
        <v>31</v>
      </c>
      <c r="B74" s="4" t="str">
        <f xml:space="preserve"> TRIM(sales[[#This Row],[أسم العميل]])</f>
        <v>شيك هومز</v>
      </c>
      <c r="C74" s="4" t="str">
        <f t="shared" si="5"/>
        <v>شركات</v>
      </c>
      <c r="D74" s="4" t="s">
        <v>204</v>
      </c>
      <c r="E74" s="4" t="s">
        <v>147</v>
      </c>
      <c r="F74" s="4" t="s">
        <v>31</v>
      </c>
      <c r="G74" s="4" t="s">
        <v>107</v>
      </c>
      <c r="H74" s="4" t="s">
        <v>105</v>
      </c>
      <c r="I74" s="4"/>
      <c r="J74" s="20"/>
      <c r="K74" s="4" t="s">
        <v>109</v>
      </c>
      <c r="L74" s="4" t="s">
        <v>146</v>
      </c>
      <c r="M74" s="4"/>
      <c r="N74" s="12">
        <v>14550</v>
      </c>
      <c r="O74" s="12">
        <v>4</v>
      </c>
      <c r="P74" s="12">
        <v>14550</v>
      </c>
      <c r="Q74" s="25" t="s">
        <v>12</v>
      </c>
      <c r="R74" s="5">
        <v>45572</v>
      </c>
      <c r="S74" s="5">
        <v>45594</v>
      </c>
      <c r="T74" s="5">
        <v>45580</v>
      </c>
      <c r="U74" s="25" t="str">
        <f>IF(sales[[#This Row],[تاريخ التسليم]]&lt;=sales[[#This Row],[ميعاد التسليم]],"on time","late")</f>
        <v>on time</v>
      </c>
      <c r="V74" s="20">
        <f t="shared" si="7"/>
        <v>8</v>
      </c>
      <c r="W74" s="4" t="s">
        <v>214</v>
      </c>
      <c r="X74" s="35" t="s">
        <v>129</v>
      </c>
    </row>
    <row r="75" spans="1:24" ht="20.149999999999999" customHeight="1" x14ac:dyDescent="0.35">
      <c r="A75" s="4" t="s">
        <v>31</v>
      </c>
      <c r="B75" s="4" t="str">
        <f xml:space="preserve"> TRIM(sales[[#This Row],[أسم العميل]])</f>
        <v>شيك هومز</v>
      </c>
      <c r="C75" s="4" t="str">
        <f t="shared" si="5"/>
        <v>شركات</v>
      </c>
      <c r="D75" s="4" t="s">
        <v>206</v>
      </c>
      <c r="E75" s="4"/>
      <c r="F75" s="4" t="s">
        <v>31</v>
      </c>
      <c r="G75" s="4" t="s">
        <v>107</v>
      </c>
      <c r="H75" s="4" t="s">
        <v>105</v>
      </c>
      <c r="I75" s="4"/>
      <c r="J75" s="20"/>
      <c r="K75" s="4" t="s">
        <v>109</v>
      </c>
      <c r="L75" s="4" t="s">
        <v>142</v>
      </c>
      <c r="M75" s="4"/>
      <c r="N75" s="20">
        <v>11495</v>
      </c>
      <c r="O75" s="12">
        <v>4</v>
      </c>
      <c r="P75" s="12">
        <v>0</v>
      </c>
      <c r="Q75" s="25" t="s">
        <v>222</v>
      </c>
      <c r="R75" s="5">
        <v>45575</v>
      </c>
      <c r="S75" s="5">
        <v>45596</v>
      </c>
      <c r="T75" s="5">
        <v>45598</v>
      </c>
      <c r="U75" s="25" t="str">
        <f>IF(sales[[#This Row],[تاريخ التسليم]]&lt;=sales[[#This Row],[ميعاد التسليم]],"on time","late")</f>
        <v>late</v>
      </c>
      <c r="V75" s="20">
        <f t="shared" si="7"/>
        <v>23</v>
      </c>
      <c r="W75" s="4" t="s">
        <v>214</v>
      </c>
      <c r="X75" s="35" t="s">
        <v>129</v>
      </c>
    </row>
    <row r="76" spans="1:24" ht="20.149999999999999" customHeight="1" x14ac:dyDescent="0.35">
      <c r="A76" s="4" t="s">
        <v>149</v>
      </c>
      <c r="B76" s="4" t="str">
        <f xml:space="preserve"> TRIM(sales[[#This Row],[أسم العميل]])</f>
        <v>keira</v>
      </c>
      <c r="C76" s="4" t="str">
        <f t="shared" si="5"/>
        <v>افراد</v>
      </c>
      <c r="D76" s="4" t="s">
        <v>206</v>
      </c>
      <c r="E76" s="4" t="s">
        <v>63</v>
      </c>
      <c r="F76" s="4" t="s">
        <v>5</v>
      </c>
      <c r="G76" s="4" t="s">
        <v>94</v>
      </c>
      <c r="H76" s="4" t="s">
        <v>106</v>
      </c>
      <c r="I76" s="4" t="s">
        <v>150</v>
      </c>
      <c r="J76" s="20">
        <v>140</v>
      </c>
      <c r="K76" s="4" t="s">
        <v>151</v>
      </c>
      <c r="L76" s="4"/>
      <c r="M76" s="4"/>
      <c r="N76" s="20">
        <v>13028</v>
      </c>
      <c r="O76" s="12">
        <v>1</v>
      </c>
      <c r="P76" s="12">
        <v>0</v>
      </c>
      <c r="Q76" s="25" t="s">
        <v>222</v>
      </c>
      <c r="R76" s="5">
        <v>45578</v>
      </c>
      <c r="S76" s="5">
        <f>15+R76</f>
        <v>45593</v>
      </c>
      <c r="T76" s="5">
        <v>45598</v>
      </c>
      <c r="U76" s="25" t="str">
        <f>IF(sales[[#This Row],[تاريخ التسليم]]&lt;=sales[[#This Row],[ميعاد التسليم]],"on time","late")</f>
        <v>late</v>
      </c>
      <c r="V76" s="20">
        <f t="shared" si="7"/>
        <v>20</v>
      </c>
      <c r="W76" s="4" t="s">
        <v>214</v>
      </c>
      <c r="X76" s="35" t="s">
        <v>129</v>
      </c>
    </row>
    <row r="77" spans="1:24" ht="20.149999999999999" customHeight="1" x14ac:dyDescent="0.35">
      <c r="A77" s="4" t="s">
        <v>152</v>
      </c>
      <c r="B77" s="4" t="str">
        <f xml:space="preserve"> TRIM(sales[[#This Row],[أسم العميل]])</f>
        <v>tarek</v>
      </c>
      <c r="C77" s="4" t="str">
        <f t="shared" si="5"/>
        <v>افراد</v>
      </c>
      <c r="D77" s="4" t="s">
        <v>206</v>
      </c>
      <c r="E77" s="4" t="s">
        <v>30</v>
      </c>
      <c r="F77" s="4" t="s">
        <v>5</v>
      </c>
      <c r="G77" s="4" t="s">
        <v>94</v>
      </c>
      <c r="H77" s="4" t="s">
        <v>106</v>
      </c>
      <c r="I77" s="4" t="s">
        <v>99</v>
      </c>
      <c r="J77" s="20">
        <v>140</v>
      </c>
      <c r="K77" s="4" t="s">
        <v>108</v>
      </c>
      <c r="L77" s="4"/>
      <c r="M77" s="4"/>
      <c r="N77" s="12">
        <v>10499</v>
      </c>
      <c r="O77" s="12">
        <v>1</v>
      </c>
      <c r="P77" s="12">
        <v>10499</v>
      </c>
      <c r="Q77" s="25" t="s">
        <v>12</v>
      </c>
      <c r="R77" s="5">
        <v>45581</v>
      </c>
      <c r="S77" s="5">
        <f>R77+15</f>
        <v>45596</v>
      </c>
      <c r="T77" s="5">
        <v>45586</v>
      </c>
      <c r="U77" s="25" t="str">
        <f>IF(sales[[#This Row],[تاريخ التسليم]]&lt;=sales[[#This Row],[ميعاد التسليم]],"on time","late")</f>
        <v>on time</v>
      </c>
      <c r="V77" s="20">
        <f t="shared" si="7"/>
        <v>5</v>
      </c>
      <c r="W77" s="4" t="s">
        <v>214</v>
      </c>
      <c r="X77" s="35" t="s">
        <v>129</v>
      </c>
    </row>
    <row r="78" spans="1:24" ht="20.149999999999999" customHeight="1" x14ac:dyDescent="0.35">
      <c r="A78" s="4" t="s">
        <v>153</v>
      </c>
      <c r="B78" s="4" t="str">
        <f xml:space="preserve"> TRIM(sales[[#This Row],[أسم العميل]])</f>
        <v>reem</v>
      </c>
      <c r="C78" s="4" t="str">
        <f t="shared" si="5"/>
        <v>افراد</v>
      </c>
      <c r="D78" s="4" t="s">
        <v>205</v>
      </c>
      <c r="E78" s="4" t="s">
        <v>154</v>
      </c>
      <c r="F78" s="4" t="s">
        <v>5</v>
      </c>
      <c r="G78" s="4" t="s">
        <v>94</v>
      </c>
      <c r="H78" s="4" t="s">
        <v>106</v>
      </c>
      <c r="I78" s="4" t="s">
        <v>96</v>
      </c>
      <c r="J78" s="20">
        <v>140</v>
      </c>
      <c r="K78" s="4" t="s">
        <v>151</v>
      </c>
      <c r="L78" s="4"/>
      <c r="M78" s="4"/>
      <c r="N78" s="12">
        <v>12899</v>
      </c>
      <c r="O78" s="12">
        <v>1</v>
      </c>
      <c r="P78" s="12">
        <v>12899</v>
      </c>
      <c r="Q78" s="25" t="s">
        <v>12</v>
      </c>
      <c r="R78" s="5">
        <v>45582</v>
      </c>
      <c r="S78" s="5">
        <f>15+R78</f>
        <v>45597</v>
      </c>
      <c r="T78" s="5">
        <v>45629</v>
      </c>
      <c r="U78" s="25" t="str">
        <f>IF(sales[[#This Row],[تاريخ التسليم]]&lt;=sales[[#This Row],[ميعاد التسليم]],"on time","late")</f>
        <v>late</v>
      </c>
      <c r="V78" s="20">
        <f t="shared" si="7"/>
        <v>47</v>
      </c>
      <c r="W78" s="4" t="s">
        <v>216</v>
      </c>
      <c r="X78" s="35" t="s">
        <v>129</v>
      </c>
    </row>
    <row r="79" spans="1:24" ht="20.149999999999999" customHeight="1" x14ac:dyDescent="0.35">
      <c r="A79" s="4" t="s">
        <v>155</v>
      </c>
      <c r="B79" s="4" t="str">
        <f xml:space="preserve"> TRIM(sales[[#This Row],[أسم العميل]])</f>
        <v>هشام سامى</v>
      </c>
      <c r="C79" s="4" t="str">
        <f t="shared" si="5"/>
        <v>افراد</v>
      </c>
      <c r="D79" s="4" t="s">
        <v>209</v>
      </c>
      <c r="E79" s="4" t="s">
        <v>156</v>
      </c>
      <c r="F79" s="4" t="s">
        <v>166</v>
      </c>
      <c r="G79" s="4" t="s">
        <v>94</v>
      </c>
      <c r="H79" s="4" t="s">
        <v>97</v>
      </c>
      <c r="I79" s="4" t="s">
        <v>157</v>
      </c>
      <c r="J79" s="20">
        <v>140</v>
      </c>
      <c r="K79" s="4" t="s">
        <v>142</v>
      </c>
      <c r="L79" s="4" t="s">
        <v>225</v>
      </c>
      <c r="M79" s="4"/>
      <c r="N79" s="12">
        <v>5135</v>
      </c>
      <c r="O79" s="12">
        <v>1</v>
      </c>
      <c r="P79" s="12">
        <v>5135</v>
      </c>
      <c r="Q79" s="25" t="s">
        <v>12</v>
      </c>
      <c r="R79" s="5">
        <v>45585</v>
      </c>
      <c r="S79" s="5">
        <v>45613</v>
      </c>
      <c r="T79" s="5">
        <v>45610</v>
      </c>
      <c r="U79" s="25" t="str">
        <f>IF(sales[[#This Row],[تاريخ التسليم]]&lt;=sales[[#This Row],[ميعاد التسليم]],"on time","late")</f>
        <v>on time</v>
      </c>
      <c r="V79" s="20">
        <f t="shared" si="7"/>
        <v>25</v>
      </c>
      <c r="W79" s="4" t="s">
        <v>214</v>
      </c>
      <c r="X79" s="35" t="s">
        <v>129</v>
      </c>
    </row>
    <row r="80" spans="1:24" ht="20.149999999999999" customHeight="1" x14ac:dyDescent="0.35">
      <c r="A80" s="4" t="s">
        <v>31</v>
      </c>
      <c r="B80" s="4" t="str">
        <f xml:space="preserve"> TRIM(sales[[#This Row],[أسم العميل]])</f>
        <v>شيك هومز</v>
      </c>
      <c r="C80" s="4" t="str">
        <f t="shared" si="5"/>
        <v>شركات</v>
      </c>
      <c r="D80" s="4" t="s">
        <v>204</v>
      </c>
      <c r="E80" s="4" t="s">
        <v>133</v>
      </c>
      <c r="F80" s="4" t="s">
        <v>31</v>
      </c>
      <c r="G80" s="4" t="s">
        <v>94</v>
      </c>
      <c r="H80" s="4" t="s">
        <v>106</v>
      </c>
      <c r="I80" s="4" t="s">
        <v>158</v>
      </c>
      <c r="J80" s="20">
        <v>100</v>
      </c>
      <c r="K80" s="4" t="s">
        <v>138</v>
      </c>
      <c r="L80" s="4"/>
      <c r="M80" s="4"/>
      <c r="N80" s="20">
        <v>11277.5</v>
      </c>
      <c r="O80" s="12">
        <v>1</v>
      </c>
      <c r="P80" s="12">
        <v>0</v>
      </c>
      <c r="Q80" s="25" t="s">
        <v>222</v>
      </c>
      <c r="R80" s="5">
        <v>45587</v>
      </c>
      <c r="S80" s="5">
        <v>45608</v>
      </c>
      <c r="T80" s="5">
        <v>45614</v>
      </c>
      <c r="U80" s="25" t="str">
        <f>IF(sales[[#This Row],[تاريخ التسليم]]&lt;=sales[[#This Row],[ميعاد التسليم]],"on time","late")</f>
        <v>late</v>
      </c>
      <c r="V80" s="20">
        <f t="shared" si="7"/>
        <v>27</v>
      </c>
      <c r="W80" s="4" t="s">
        <v>214</v>
      </c>
      <c r="X80" s="35" t="s">
        <v>129</v>
      </c>
    </row>
    <row r="81" spans="1:24" ht="20.149999999999999" customHeight="1" x14ac:dyDescent="0.35">
      <c r="A81" s="2" t="s">
        <v>52</v>
      </c>
      <c r="B81" s="2" t="str">
        <f xml:space="preserve"> TRIM(sales[[#This Row],[أسم العميل]])</f>
        <v>اوسكار راتن</v>
      </c>
      <c r="C81" s="2" t="str">
        <f t="shared" si="5"/>
        <v>شركات</v>
      </c>
      <c r="D81" s="4" t="s">
        <v>206</v>
      </c>
      <c r="E81" s="2" t="s">
        <v>159</v>
      </c>
      <c r="F81" s="2" t="s">
        <v>34</v>
      </c>
      <c r="G81" s="2" t="s">
        <v>94</v>
      </c>
      <c r="H81" s="2" t="s">
        <v>106</v>
      </c>
      <c r="I81" s="2" t="s">
        <v>158</v>
      </c>
      <c r="J81" s="22">
        <v>100</v>
      </c>
      <c r="K81" s="2" t="s">
        <v>138</v>
      </c>
      <c r="L81" s="2"/>
      <c r="M81" s="2"/>
      <c r="N81" s="11">
        <v>8544.91</v>
      </c>
      <c r="O81" s="11">
        <v>1</v>
      </c>
      <c r="P81" s="11">
        <v>0</v>
      </c>
      <c r="Q81" s="29" t="s">
        <v>54</v>
      </c>
      <c r="R81" s="3">
        <v>45587</v>
      </c>
      <c r="S81" s="3">
        <f>15+R81</f>
        <v>45602</v>
      </c>
      <c r="T81" s="3"/>
      <c r="U81" s="28" t="s">
        <v>281</v>
      </c>
      <c r="V81" s="22"/>
      <c r="W81" s="2" t="s">
        <v>214</v>
      </c>
      <c r="X81" s="37" t="s">
        <v>134</v>
      </c>
    </row>
    <row r="82" spans="1:24" ht="20.149999999999999" customHeight="1" x14ac:dyDescent="0.35">
      <c r="A82" s="4" t="s">
        <v>160</v>
      </c>
      <c r="B82" s="4" t="str">
        <f xml:space="preserve"> TRIM(sales[[#This Row],[أسم العميل]])</f>
        <v>فاطمه محمد</v>
      </c>
      <c r="C82" s="4" t="str">
        <f t="shared" si="5"/>
        <v>افراد</v>
      </c>
      <c r="D82" s="4" t="s">
        <v>204</v>
      </c>
      <c r="E82" s="4" t="s">
        <v>161</v>
      </c>
      <c r="F82" s="4" t="s">
        <v>5</v>
      </c>
      <c r="G82" s="4" t="s">
        <v>94</v>
      </c>
      <c r="H82" s="4" t="s">
        <v>97</v>
      </c>
      <c r="I82" s="4" t="s">
        <v>117</v>
      </c>
      <c r="J82" s="20">
        <v>120</v>
      </c>
      <c r="K82" s="4" t="s">
        <v>108</v>
      </c>
      <c r="L82" s="4"/>
      <c r="M82" s="4"/>
      <c r="N82" s="12">
        <v>8943</v>
      </c>
      <c r="O82" s="12">
        <v>1</v>
      </c>
      <c r="P82" s="12">
        <v>0</v>
      </c>
      <c r="Q82" s="25" t="s">
        <v>222</v>
      </c>
      <c r="R82" s="5">
        <v>45586</v>
      </c>
      <c r="S82" s="5">
        <v>45610</v>
      </c>
      <c r="T82" s="5">
        <v>45614</v>
      </c>
      <c r="U82" s="25" t="str">
        <f>IF(sales[[#This Row],[تاريخ التسليم]]&lt;=sales[[#This Row],[ميعاد التسليم]],"on time","late")</f>
        <v>late</v>
      </c>
      <c r="V82" s="20">
        <f>T82-R82</f>
        <v>28</v>
      </c>
      <c r="W82" s="4" t="s">
        <v>214</v>
      </c>
      <c r="X82" s="35" t="s">
        <v>129</v>
      </c>
    </row>
    <row r="83" spans="1:24" ht="20.149999999999999" customHeight="1" x14ac:dyDescent="0.35">
      <c r="A83" s="4" t="s">
        <v>31</v>
      </c>
      <c r="B83" s="4" t="str">
        <f xml:space="preserve"> TRIM(sales[[#This Row],[أسم العميل]])</f>
        <v>شيك هومز</v>
      </c>
      <c r="C83" s="4" t="str">
        <f t="shared" si="5"/>
        <v>شركات</v>
      </c>
      <c r="D83" s="4" t="s">
        <v>206</v>
      </c>
      <c r="E83" s="4"/>
      <c r="F83" s="4" t="s">
        <v>31</v>
      </c>
      <c r="G83" s="4" t="s">
        <v>107</v>
      </c>
      <c r="H83" s="4" t="s">
        <v>105</v>
      </c>
      <c r="I83" s="4"/>
      <c r="J83" s="20"/>
      <c r="K83" s="4" t="s">
        <v>109</v>
      </c>
      <c r="L83" s="4"/>
      <c r="M83" s="4"/>
      <c r="N83" s="12">
        <v>15516</v>
      </c>
      <c r="O83" s="12">
        <v>4</v>
      </c>
      <c r="P83" s="12">
        <v>15516</v>
      </c>
      <c r="Q83" s="25" t="s">
        <v>12</v>
      </c>
      <c r="R83" s="5">
        <v>45589</v>
      </c>
      <c r="S83" s="5">
        <v>45610</v>
      </c>
      <c r="T83" s="5">
        <v>45595</v>
      </c>
      <c r="U83" s="25" t="str">
        <f>IF(sales[[#This Row],[تاريخ التسليم]]&lt;=sales[[#This Row],[ميعاد التسليم]],"on time","late")</f>
        <v>on time</v>
      </c>
      <c r="V83" s="20">
        <f>T83-R83</f>
        <v>6</v>
      </c>
      <c r="W83" s="4" t="s">
        <v>214</v>
      </c>
      <c r="X83" s="35" t="s">
        <v>129</v>
      </c>
    </row>
    <row r="84" spans="1:24" ht="20.149999999999999" customHeight="1" x14ac:dyDescent="0.35">
      <c r="A84" s="2" t="s">
        <v>31</v>
      </c>
      <c r="B84" s="2" t="str">
        <f xml:space="preserve"> TRIM(sales[[#This Row],[أسم العميل]])</f>
        <v>شيك هومز</v>
      </c>
      <c r="C84" s="2" t="str">
        <f t="shared" si="5"/>
        <v>شركات</v>
      </c>
      <c r="D84" s="2" t="s">
        <v>206</v>
      </c>
      <c r="E84" s="2"/>
      <c r="F84" s="2" t="s">
        <v>31</v>
      </c>
      <c r="G84" s="2" t="s">
        <v>94</v>
      </c>
      <c r="H84" s="2" t="s">
        <v>106</v>
      </c>
      <c r="I84" s="2" t="s">
        <v>98</v>
      </c>
      <c r="J84" s="22">
        <v>100</v>
      </c>
      <c r="K84" s="2" t="s">
        <v>109</v>
      </c>
      <c r="L84" s="2"/>
      <c r="M84" s="2"/>
      <c r="N84" s="22">
        <v>8879</v>
      </c>
      <c r="O84" s="11">
        <v>1</v>
      </c>
      <c r="P84" s="11">
        <v>0</v>
      </c>
      <c r="Q84" s="29" t="s">
        <v>222</v>
      </c>
      <c r="R84" s="3">
        <v>45591</v>
      </c>
      <c r="S84" s="3">
        <v>45612</v>
      </c>
      <c r="T84" s="3"/>
      <c r="U84" s="28" t="s">
        <v>281</v>
      </c>
      <c r="V84" s="22"/>
      <c r="W84" s="2" t="s">
        <v>214</v>
      </c>
      <c r="X84" s="37" t="s">
        <v>134</v>
      </c>
    </row>
    <row r="85" spans="1:24" ht="20.149999999999999" customHeight="1" x14ac:dyDescent="0.35">
      <c r="A85" s="4" t="s">
        <v>81</v>
      </c>
      <c r="B85" s="4" t="str">
        <f xml:space="preserve"> TRIM(sales[[#This Row],[أسم العميل]])</f>
        <v>ساره</v>
      </c>
      <c r="C85" s="4" t="str">
        <f t="shared" si="5"/>
        <v>افراد</v>
      </c>
      <c r="D85" s="4" t="s">
        <v>204</v>
      </c>
      <c r="E85" s="4" t="s">
        <v>162</v>
      </c>
      <c r="F85" s="4" t="s">
        <v>5</v>
      </c>
      <c r="G85" s="4" t="s">
        <v>94</v>
      </c>
      <c r="H85" s="4" t="s">
        <v>106</v>
      </c>
      <c r="I85" s="4" t="s">
        <v>98</v>
      </c>
      <c r="J85" s="20">
        <v>90</v>
      </c>
      <c r="K85" s="4" t="s">
        <v>109</v>
      </c>
      <c r="L85" s="4"/>
      <c r="M85" s="4"/>
      <c r="N85" s="12">
        <v>11649</v>
      </c>
      <c r="O85" s="12">
        <v>1</v>
      </c>
      <c r="P85" s="12">
        <v>0</v>
      </c>
      <c r="Q85" s="25" t="s">
        <v>222</v>
      </c>
      <c r="R85" s="5">
        <v>45591</v>
      </c>
      <c r="S85" s="5">
        <v>45606</v>
      </c>
      <c r="T85" s="5">
        <v>45614</v>
      </c>
      <c r="U85" s="25" t="str">
        <f>IF(sales[[#This Row],[تاريخ التسليم]]&lt;=sales[[#This Row],[ميعاد التسليم]],"on time","late")</f>
        <v>late</v>
      </c>
      <c r="V85" s="20">
        <f t="shared" ref="V85:V103" si="8">T85-R85</f>
        <v>23</v>
      </c>
      <c r="W85" s="4" t="s">
        <v>214</v>
      </c>
      <c r="X85" s="35" t="s">
        <v>129</v>
      </c>
    </row>
    <row r="86" spans="1:24" ht="20.149999999999999" customHeight="1" x14ac:dyDescent="0.35">
      <c r="A86" s="4" t="s">
        <v>5</v>
      </c>
      <c r="B86" s="4" t="str">
        <f xml:space="preserve"> TRIM(sales[[#This Row],[أسم العميل]])</f>
        <v>هومزمارت</v>
      </c>
      <c r="C86" s="4" t="str">
        <f t="shared" si="5"/>
        <v>شركات</v>
      </c>
      <c r="D86" s="4" t="s">
        <v>206</v>
      </c>
      <c r="E86" s="4" t="s">
        <v>66</v>
      </c>
      <c r="F86" s="4" t="s">
        <v>5</v>
      </c>
      <c r="G86" s="4" t="s">
        <v>94</v>
      </c>
      <c r="H86" s="4" t="s">
        <v>97</v>
      </c>
      <c r="I86" s="4" t="s">
        <v>100</v>
      </c>
      <c r="J86" s="20">
        <v>100</v>
      </c>
      <c r="K86" s="4" t="s">
        <v>108</v>
      </c>
      <c r="L86" s="4"/>
      <c r="M86" s="4"/>
      <c r="N86" s="12">
        <v>4800</v>
      </c>
      <c r="O86" s="12">
        <v>1</v>
      </c>
      <c r="P86" s="12">
        <v>0</v>
      </c>
      <c r="Q86" s="25" t="s">
        <v>222</v>
      </c>
      <c r="R86" s="5">
        <v>45593</v>
      </c>
      <c r="S86" s="5">
        <v>45607</v>
      </c>
      <c r="T86" s="5">
        <v>45617</v>
      </c>
      <c r="U86" s="25" t="str">
        <f>IF(sales[[#This Row],[تاريخ التسليم]]&lt;=sales[[#This Row],[ميعاد التسليم]],"on time","late")</f>
        <v>late</v>
      </c>
      <c r="V86" s="20">
        <f t="shared" si="8"/>
        <v>24</v>
      </c>
      <c r="W86" s="4" t="s">
        <v>214</v>
      </c>
      <c r="X86" s="35" t="s">
        <v>129</v>
      </c>
    </row>
    <row r="87" spans="1:24" ht="20.149999999999999" customHeight="1" x14ac:dyDescent="0.35">
      <c r="A87" s="4" t="s">
        <v>5</v>
      </c>
      <c r="B87" s="4" t="str">
        <f xml:space="preserve"> TRIM(sales[[#This Row],[أسم العميل]])</f>
        <v>هومزمارت</v>
      </c>
      <c r="C87" s="4" t="str">
        <f t="shared" si="5"/>
        <v>شركات</v>
      </c>
      <c r="D87" s="4" t="s">
        <v>206</v>
      </c>
      <c r="E87" s="4" t="s">
        <v>66</v>
      </c>
      <c r="F87" s="4" t="s">
        <v>5</v>
      </c>
      <c r="G87" s="4" t="s">
        <v>94</v>
      </c>
      <c r="H87" s="4" t="s">
        <v>97</v>
      </c>
      <c r="I87" s="4" t="s">
        <v>100</v>
      </c>
      <c r="J87" s="20">
        <v>120</v>
      </c>
      <c r="K87" s="4" t="s">
        <v>108</v>
      </c>
      <c r="L87" s="4"/>
      <c r="M87" s="4"/>
      <c r="N87" s="20">
        <v>4800</v>
      </c>
      <c r="O87" s="12">
        <v>1</v>
      </c>
      <c r="P87" s="12">
        <v>0</v>
      </c>
      <c r="Q87" s="25" t="s">
        <v>222</v>
      </c>
      <c r="R87" s="5">
        <v>45593</v>
      </c>
      <c r="S87" s="5">
        <v>45607</v>
      </c>
      <c r="T87" s="5">
        <v>45617</v>
      </c>
      <c r="U87" s="25" t="str">
        <f>IF(sales[[#This Row],[تاريخ التسليم]]&lt;=sales[[#This Row],[ميعاد التسليم]],"on time","late")</f>
        <v>late</v>
      </c>
      <c r="V87" s="20">
        <f t="shared" si="8"/>
        <v>24</v>
      </c>
      <c r="W87" s="4" t="s">
        <v>214</v>
      </c>
      <c r="X87" s="35" t="s">
        <v>129</v>
      </c>
    </row>
    <row r="88" spans="1:24" ht="20.149999999999999" customHeight="1" x14ac:dyDescent="0.35">
      <c r="A88" s="4" t="s">
        <v>163</v>
      </c>
      <c r="B88" s="4" t="str">
        <f xml:space="preserve"> TRIM(sales[[#This Row],[أسم العميل]])</f>
        <v>محمد شكرى</v>
      </c>
      <c r="C88" s="4" t="str">
        <f t="shared" si="5"/>
        <v>افراد</v>
      </c>
      <c r="D88" s="4" t="s">
        <v>206</v>
      </c>
      <c r="E88" s="4" t="s">
        <v>167</v>
      </c>
      <c r="F88" s="4" t="s">
        <v>5</v>
      </c>
      <c r="G88" s="4" t="s">
        <v>94</v>
      </c>
      <c r="H88" s="4" t="s">
        <v>106</v>
      </c>
      <c r="I88" s="4" t="s">
        <v>99</v>
      </c>
      <c r="J88" s="20">
        <v>80</v>
      </c>
      <c r="K88" s="4" t="s">
        <v>108</v>
      </c>
      <c r="L88" s="4"/>
      <c r="M88" s="4"/>
      <c r="N88" s="12">
        <v>12099</v>
      </c>
      <c r="O88" s="12">
        <v>1</v>
      </c>
      <c r="P88" s="12">
        <v>12099</v>
      </c>
      <c r="Q88" s="25" t="s">
        <v>12</v>
      </c>
      <c r="R88" s="5">
        <v>45607</v>
      </c>
      <c r="S88" s="5">
        <v>45622</v>
      </c>
      <c r="T88" s="5">
        <v>45623</v>
      </c>
      <c r="U88" s="25" t="str">
        <f>IF(sales[[#This Row],[تاريخ التسليم]]&lt;=sales[[#This Row],[ميعاد التسليم]],"on time","late")</f>
        <v>late</v>
      </c>
      <c r="V88" s="20">
        <f t="shared" si="8"/>
        <v>16</v>
      </c>
      <c r="W88" s="4" t="s">
        <v>214</v>
      </c>
      <c r="X88" s="35" t="s">
        <v>129</v>
      </c>
    </row>
    <row r="89" spans="1:24" ht="20.149999999999999" customHeight="1" x14ac:dyDescent="0.35">
      <c r="A89" s="4" t="s">
        <v>31</v>
      </c>
      <c r="B89" s="4" t="str">
        <f xml:space="preserve"> TRIM(sales[[#This Row],[أسم العميل]])</f>
        <v>شيك هومز</v>
      </c>
      <c r="C89" s="4" t="str">
        <f t="shared" si="5"/>
        <v>شركات</v>
      </c>
      <c r="D89" s="4" t="s">
        <v>206</v>
      </c>
      <c r="E89" s="4" t="s">
        <v>145</v>
      </c>
      <c r="F89" s="4" t="s">
        <v>31</v>
      </c>
      <c r="G89" s="4" t="s">
        <v>107</v>
      </c>
      <c r="H89" s="4" t="s">
        <v>105</v>
      </c>
      <c r="I89" s="4" t="s">
        <v>164</v>
      </c>
      <c r="J89" s="20"/>
      <c r="K89" s="4" t="s">
        <v>109</v>
      </c>
      <c r="L89" s="4" t="s">
        <v>165</v>
      </c>
      <c r="M89" s="4"/>
      <c r="N89" s="12">
        <v>15872</v>
      </c>
      <c r="O89" s="12">
        <v>4</v>
      </c>
      <c r="P89" s="12">
        <v>15872</v>
      </c>
      <c r="Q89" s="25" t="s">
        <v>12</v>
      </c>
      <c r="R89" s="5">
        <v>45604</v>
      </c>
      <c r="S89" s="5">
        <v>45629</v>
      </c>
      <c r="T89" s="5">
        <v>45610</v>
      </c>
      <c r="U89" s="25" t="str">
        <f>IF(sales[[#This Row],[تاريخ التسليم]]&lt;=sales[[#This Row],[ميعاد التسليم]],"on time","late")</f>
        <v>on time</v>
      </c>
      <c r="V89" s="20">
        <f t="shared" si="8"/>
        <v>6</v>
      </c>
      <c r="W89" s="4" t="s">
        <v>214</v>
      </c>
      <c r="X89" s="35" t="s">
        <v>129</v>
      </c>
    </row>
    <row r="90" spans="1:24" ht="20.149999999999999" customHeight="1" x14ac:dyDescent="0.35">
      <c r="A90" s="4" t="s">
        <v>166</v>
      </c>
      <c r="B90" s="4" t="str">
        <f xml:space="preserve"> TRIM(sales[[#This Row],[أسم العميل]])</f>
        <v>منزلى</v>
      </c>
      <c r="C90" s="4" t="str">
        <f t="shared" si="5"/>
        <v>افراد</v>
      </c>
      <c r="D90" s="4" t="s">
        <v>206</v>
      </c>
      <c r="E90" s="4" t="s">
        <v>20</v>
      </c>
      <c r="F90" s="4" t="s">
        <v>166</v>
      </c>
      <c r="G90" s="4" t="s">
        <v>94</v>
      </c>
      <c r="H90" s="4" t="s">
        <v>97</v>
      </c>
      <c r="I90" s="4" t="s">
        <v>117</v>
      </c>
      <c r="J90" s="20">
        <v>120</v>
      </c>
      <c r="K90" s="4" t="s">
        <v>108</v>
      </c>
      <c r="L90" s="4"/>
      <c r="M90" s="4"/>
      <c r="N90" s="12">
        <v>4520</v>
      </c>
      <c r="O90" s="12">
        <v>1</v>
      </c>
      <c r="P90" s="12">
        <v>0</v>
      </c>
      <c r="Q90" s="25" t="s">
        <v>54</v>
      </c>
      <c r="R90" s="5">
        <v>45606</v>
      </c>
      <c r="S90" s="5">
        <v>45618</v>
      </c>
      <c r="T90" s="5">
        <v>45617</v>
      </c>
      <c r="U90" s="25" t="str">
        <f>IF(sales[[#This Row],[تاريخ التسليم]]&lt;=sales[[#This Row],[ميعاد التسليم]],"on time","late")</f>
        <v>on time</v>
      </c>
      <c r="V90" s="20">
        <f t="shared" si="8"/>
        <v>11</v>
      </c>
      <c r="W90" s="4" t="s">
        <v>214</v>
      </c>
      <c r="X90" s="35" t="s">
        <v>129</v>
      </c>
    </row>
    <row r="91" spans="1:24" ht="20.149999999999999" customHeight="1" x14ac:dyDescent="0.35">
      <c r="A91" s="4" t="s">
        <v>52</v>
      </c>
      <c r="B91" s="4" t="str">
        <f xml:space="preserve"> TRIM(sales[[#This Row],[أسم العميل]])</f>
        <v>اوسكار راتن</v>
      </c>
      <c r="C91" s="4" t="str">
        <f t="shared" si="5"/>
        <v>شركات</v>
      </c>
      <c r="D91" s="4" t="s">
        <v>208</v>
      </c>
      <c r="E91" s="4" t="s">
        <v>130</v>
      </c>
      <c r="F91" s="4" t="s">
        <v>34</v>
      </c>
      <c r="G91" s="4" t="s">
        <v>94</v>
      </c>
      <c r="H91" s="4" t="s">
        <v>106</v>
      </c>
      <c r="I91" s="4" t="s">
        <v>98</v>
      </c>
      <c r="J91" s="20">
        <v>90</v>
      </c>
      <c r="K91" s="4" t="s">
        <v>109</v>
      </c>
      <c r="L91" s="4"/>
      <c r="M91" s="4"/>
      <c r="N91" s="12">
        <v>5766</v>
      </c>
      <c r="O91" s="12">
        <v>1</v>
      </c>
      <c r="P91" s="12">
        <v>0</v>
      </c>
      <c r="Q91" s="25" t="s">
        <v>54</v>
      </c>
      <c r="R91" s="5">
        <v>45608</v>
      </c>
      <c r="S91" s="5">
        <v>45622</v>
      </c>
      <c r="T91" s="5">
        <v>45621</v>
      </c>
      <c r="U91" s="25" t="str">
        <f>IF(sales[[#This Row],[تاريخ التسليم]]&lt;=sales[[#This Row],[ميعاد التسليم]],"on time","late")</f>
        <v>on time</v>
      </c>
      <c r="V91" s="20">
        <f t="shared" si="8"/>
        <v>13</v>
      </c>
      <c r="W91" s="4" t="s">
        <v>214</v>
      </c>
      <c r="X91" s="35" t="s">
        <v>129</v>
      </c>
    </row>
    <row r="92" spans="1:24" ht="20.149999999999999" customHeight="1" x14ac:dyDescent="0.35">
      <c r="A92" s="4" t="s">
        <v>168</v>
      </c>
      <c r="B92" s="4" t="str">
        <f xml:space="preserve"> TRIM(sales[[#This Row],[أسم العميل]])</f>
        <v>حماده</v>
      </c>
      <c r="C92" s="4" t="str">
        <f t="shared" si="5"/>
        <v>افراد</v>
      </c>
      <c r="D92" s="4" t="s">
        <v>206</v>
      </c>
      <c r="E92" s="4" t="s">
        <v>66</v>
      </c>
      <c r="F92" s="4" t="s">
        <v>5</v>
      </c>
      <c r="G92" s="4" t="s">
        <v>94</v>
      </c>
      <c r="H92" s="4" t="s">
        <v>97</v>
      </c>
      <c r="I92" s="4" t="s">
        <v>117</v>
      </c>
      <c r="J92" s="20">
        <v>160</v>
      </c>
      <c r="K92" s="4" t="s">
        <v>114</v>
      </c>
      <c r="L92" s="4"/>
      <c r="M92" s="4"/>
      <c r="N92" s="12">
        <v>11395</v>
      </c>
      <c r="O92" s="12">
        <v>1</v>
      </c>
      <c r="P92" s="12">
        <v>11395</v>
      </c>
      <c r="Q92" s="25" t="s">
        <v>12</v>
      </c>
      <c r="R92" s="5">
        <v>45608</v>
      </c>
      <c r="S92" s="5">
        <v>45620</v>
      </c>
      <c r="T92" s="5">
        <v>45623</v>
      </c>
      <c r="U92" s="25" t="str">
        <f>IF(sales[[#This Row],[تاريخ التسليم]]&lt;=sales[[#This Row],[ميعاد التسليم]],"on time","late")</f>
        <v>late</v>
      </c>
      <c r="V92" s="20">
        <f t="shared" si="8"/>
        <v>15</v>
      </c>
      <c r="W92" s="4" t="s">
        <v>214</v>
      </c>
      <c r="X92" s="35" t="s">
        <v>129</v>
      </c>
    </row>
    <row r="93" spans="1:24" ht="20.149999999999999" customHeight="1" x14ac:dyDescent="0.35">
      <c r="A93" s="4" t="s">
        <v>169</v>
      </c>
      <c r="B93" s="4" t="str">
        <f xml:space="preserve"> TRIM(sales[[#This Row],[أسم العميل]])</f>
        <v>صفاء عبد الباقي</v>
      </c>
      <c r="C93" s="4" t="str">
        <f t="shared" si="5"/>
        <v>افراد</v>
      </c>
      <c r="D93" s="4" t="s">
        <v>206</v>
      </c>
      <c r="E93" s="4" t="s">
        <v>20</v>
      </c>
      <c r="F93" s="4" t="s">
        <v>5</v>
      </c>
      <c r="G93" s="4" t="s">
        <v>94</v>
      </c>
      <c r="H93" s="4" t="s">
        <v>106</v>
      </c>
      <c r="I93" s="4" t="s">
        <v>170</v>
      </c>
      <c r="J93" s="20">
        <v>80</v>
      </c>
      <c r="K93" s="4" t="s">
        <v>108</v>
      </c>
      <c r="L93" s="4"/>
      <c r="M93" s="4"/>
      <c r="N93" s="12">
        <v>12919</v>
      </c>
      <c r="O93" s="12">
        <v>1</v>
      </c>
      <c r="P93" s="12">
        <v>12919</v>
      </c>
      <c r="Q93" s="25" t="s">
        <v>12</v>
      </c>
      <c r="R93" s="5">
        <v>45610</v>
      </c>
      <c r="S93" s="5">
        <v>45626</v>
      </c>
      <c r="T93" s="5">
        <v>45623</v>
      </c>
      <c r="U93" s="25" t="str">
        <f>IF(sales[[#This Row],[تاريخ التسليم]]&lt;=sales[[#This Row],[ميعاد التسليم]],"on time","late")</f>
        <v>on time</v>
      </c>
      <c r="V93" s="20">
        <f t="shared" si="8"/>
        <v>13</v>
      </c>
      <c r="W93" s="4" t="s">
        <v>214</v>
      </c>
      <c r="X93" s="35" t="s">
        <v>129</v>
      </c>
    </row>
    <row r="94" spans="1:24" ht="20.149999999999999" customHeight="1" x14ac:dyDescent="0.35">
      <c r="A94" s="4" t="s">
        <v>52</v>
      </c>
      <c r="B94" s="4" t="str">
        <f xml:space="preserve"> TRIM(sales[[#This Row],[أسم العميل]])</f>
        <v>اوسكار راتن</v>
      </c>
      <c r="C94" s="4" t="str">
        <f t="shared" si="5"/>
        <v>شركات</v>
      </c>
      <c r="D94" s="4" t="s">
        <v>208</v>
      </c>
      <c r="E94" s="4" t="s">
        <v>130</v>
      </c>
      <c r="F94" s="4" t="s">
        <v>34</v>
      </c>
      <c r="G94" s="4" t="s">
        <v>94</v>
      </c>
      <c r="H94" s="4" t="s">
        <v>106</v>
      </c>
      <c r="I94" s="4" t="s">
        <v>96</v>
      </c>
      <c r="J94" s="20">
        <v>120</v>
      </c>
      <c r="K94" s="4" t="s">
        <v>113</v>
      </c>
      <c r="L94" s="4"/>
      <c r="M94" s="4"/>
      <c r="N94" s="12">
        <v>6376</v>
      </c>
      <c r="O94" s="12">
        <v>1</v>
      </c>
      <c r="P94" s="12">
        <v>0</v>
      </c>
      <c r="Q94" s="25" t="s">
        <v>54</v>
      </c>
      <c r="R94" s="5">
        <v>45610</v>
      </c>
      <c r="S94" s="5">
        <v>45623</v>
      </c>
      <c r="T94" s="5">
        <v>45621</v>
      </c>
      <c r="U94" s="25" t="str">
        <f>IF(sales[[#This Row],[تاريخ التسليم]]&lt;=sales[[#This Row],[ميعاد التسليم]],"on time","late")</f>
        <v>on time</v>
      </c>
      <c r="V94" s="20">
        <f t="shared" si="8"/>
        <v>11</v>
      </c>
      <c r="W94" s="4" t="s">
        <v>214</v>
      </c>
      <c r="X94" s="35" t="s">
        <v>129</v>
      </c>
    </row>
    <row r="95" spans="1:24" ht="20.149999999999999" customHeight="1" x14ac:dyDescent="0.35">
      <c r="A95" s="4" t="s">
        <v>52</v>
      </c>
      <c r="B95" s="4" t="str">
        <f xml:space="preserve"> TRIM(sales[[#This Row],[أسم العميل]])</f>
        <v>اوسكار راتن</v>
      </c>
      <c r="C95" s="4" t="str">
        <f t="shared" si="5"/>
        <v>شركات</v>
      </c>
      <c r="D95" s="4" t="s">
        <v>208</v>
      </c>
      <c r="E95" s="4" t="s">
        <v>171</v>
      </c>
      <c r="F95" s="4" t="s">
        <v>34</v>
      </c>
      <c r="G95" s="4" t="s">
        <v>94</v>
      </c>
      <c r="H95" s="4" t="s">
        <v>172</v>
      </c>
      <c r="I95" s="4" t="s">
        <v>96</v>
      </c>
      <c r="J95" s="20">
        <v>90</v>
      </c>
      <c r="K95" s="4" t="s">
        <v>109</v>
      </c>
      <c r="L95" s="4"/>
      <c r="M95" s="4"/>
      <c r="N95" s="12">
        <v>5294</v>
      </c>
      <c r="O95" s="12">
        <v>1</v>
      </c>
      <c r="P95" s="12">
        <v>0</v>
      </c>
      <c r="Q95" s="25" t="s">
        <v>54</v>
      </c>
      <c r="R95" s="5">
        <v>45610</v>
      </c>
      <c r="S95" s="5">
        <v>45623</v>
      </c>
      <c r="T95" s="5">
        <v>45621</v>
      </c>
      <c r="U95" s="25" t="str">
        <f>IF(sales[[#This Row],[تاريخ التسليم]]&lt;=sales[[#This Row],[ميعاد التسليم]],"on time","late")</f>
        <v>on time</v>
      </c>
      <c r="V95" s="20">
        <f t="shared" si="8"/>
        <v>11</v>
      </c>
      <c r="W95" s="4" t="s">
        <v>214</v>
      </c>
      <c r="X95" s="35" t="s">
        <v>129</v>
      </c>
    </row>
    <row r="96" spans="1:24" ht="20.149999999999999" customHeight="1" x14ac:dyDescent="0.35">
      <c r="A96" s="4" t="s">
        <v>173</v>
      </c>
      <c r="B96" s="4" t="str">
        <f xml:space="preserve"> TRIM(sales[[#This Row],[أسم العميل]])</f>
        <v>رندا العامرى</v>
      </c>
      <c r="C96" s="4" t="str">
        <f t="shared" si="5"/>
        <v>افراد</v>
      </c>
      <c r="D96" s="4" t="s">
        <v>204</v>
      </c>
      <c r="E96" s="4" t="s">
        <v>23</v>
      </c>
      <c r="F96" s="4" t="s">
        <v>174</v>
      </c>
      <c r="G96" s="4" t="s">
        <v>94</v>
      </c>
      <c r="H96" s="4" t="s">
        <v>172</v>
      </c>
      <c r="I96" s="4" t="s">
        <v>175</v>
      </c>
      <c r="J96" s="20">
        <v>80</v>
      </c>
      <c r="K96" s="4" t="s">
        <v>108</v>
      </c>
      <c r="L96" s="4"/>
      <c r="M96" s="4"/>
      <c r="N96" s="12">
        <v>7396</v>
      </c>
      <c r="O96" s="12">
        <v>1</v>
      </c>
      <c r="P96" s="12">
        <v>7396</v>
      </c>
      <c r="Q96" s="25" t="s">
        <v>12</v>
      </c>
      <c r="R96" s="5">
        <v>45613</v>
      </c>
      <c r="S96" s="5">
        <v>45624</v>
      </c>
      <c r="T96" s="5">
        <v>45622</v>
      </c>
      <c r="U96" s="25" t="str">
        <f>IF(sales[[#This Row],[تاريخ التسليم]]&lt;=sales[[#This Row],[ميعاد التسليم]],"on time","late")</f>
        <v>on time</v>
      </c>
      <c r="V96" s="20">
        <f t="shared" si="8"/>
        <v>9</v>
      </c>
      <c r="W96" s="4" t="s">
        <v>214</v>
      </c>
      <c r="X96" s="35" t="s">
        <v>129</v>
      </c>
    </row>
    <row r="97" spans="1:24" ht="20.149999999999999" customHeight="1" x14ac:dyDescent="0.35">
      <c r="A97" s="4" t="s">
        <v>81</v>
      </c>
      <c r="B97" s="4" t="str">
        <f xml:space="preserve"> TRIM(sales[[#This Row],[أسم العميل]])</f>
        <v>ساره</v>
      </c>
      <c r="C97" s="4" t="str">
        <f t="shared" si="5"/>
        <v>افراد</v>
      </c>
      <c r="D97" s="4" t="s">
        <v>204</v>
      </c>
      <c r="E97" s="4" t="s">
        <v>176</v>
      </c>
      <c r="F97" s="4" t="s">
        <v>5</v>
      </c>
      <c r="G97" s="4" t="s">
        <v>94</v>
      </c>
      <c r="H97" s="4" t="s">
        <v>106</v>
      </c>
      <c r="I97" s="4" t="s">
        <v>98</v>
      </c>
      <c r="J97" s="20">
        <v>90</v>
      </c>
      <c r="K97" s="4" t="s">
        <v>109</v>
      </c>
      <c r="L97" s="4"/>
      <c r="M97" s="4"/>
      <c r="N97" s="12">
        <v>13439</v>
      </c>
      <c r="O97" s="12">
        <v>1</v>
      </c>
      <c r="P97" s="12">
        <v>0</v>
      </c>
      <c r="Q97" s="25" t="s">
        <v>222</v>
      </c>
      <c r="R97" s="5">
        <v>45616</v>
      </c>
      <c r="S97" s="5">
        <v>45631</v>
      </c>
      <c r="T97" s="5">
        <v>45622</v>
      </c>
      <c r="U97" s="25" t="str">
        <f>IF(sales[[#This Row],[تاريخ التسليم]]&lt;=sales[[#This Row],[ميعاد التسليم]],"on time","late")</f>
        <v>on time</v>
      </c>
      <c r="V97" s="20">
        <f t="shared" si="8"/>
        <v>6</v>
      </c>
      <c r="W97" s="4" t="s">
        <v>214</v>
      </c>
      <c r="X97" s="35" t="s">
        <v>129</v>
      </c>
    </row>
    <row r="98" spans="1:24" ht="20.149999999999999" customHeight="1" x14ac:dyDescent="0.35">
      <c r="A98" s="4" t="s">
        <v>25</v>
      </c>
      <c r="B98" s="4" t="str">
        <f xml:space="preserve"> TRIM(sales[[#This Row],[أسم العميل]])</f>
        <v>تاكى</v>
      </c>
      <c r="C98" s="4" t="str">
        <f t="shared" ref="C98:C114" si="9">IF(OR(B98="شيك هومز", B98="تاكى", B98="اوسكار راتن", B98="هومزمارت"), "شركات", "افراد")</f>
        <v>شركات</v>
      </c>
      <c r="D98" s="4" t="s">
        <v>206</v>
      </c>
      <c r="E98" s="4" t="s">
        <v>27</v>
      </c>
      <c r="F98" s="4" t="s">
        <v>25</v>
      </c>
      <c r="G98" s="4" t="s">
        <v>94</v>
      </c>
      <c r="H98" s="4" t="s">
        <v>177</v>
      </c>
      <c r="I98" s="4" t="s">
        <v>178</v>
      </c>
      <c r="J98" s="20">
        <v>160</v>
      </c>
      <c r="K98" s="4" t="s">
        <v>109</v>
      </c>
      <c r="L98" s="4"/>
      <c r="M98" s="4"/>
      <c r="N98" s="12">
        <v>5100</v>
      </c>
      <c r="O98" s="12">
        <v>1</v>
      </c>
      <c r="P98" s="12">
        <v>0</v>
      </c>
      <c r="Q98" s="25" t="s">
        <v>54</v>
      </c>
      <c r="R98" s="5">
        <v>45610</v>
      </c>
      <c r="S98" s="5">
        <v>45634</v>
      </c>
      <c r="T98" s="5">
        <f>24+R98</f>
        <v>45634</v>
      </c>
      <c r="U98" s="25" t="str">
        <f>IF(sales[[#This Row],[تاريخ التسليم]]&lt;=sales[[#This Row],[ميعاد التسليم]],"on time","late")</f>
        <v>on time</v>
      </c>
      <c r="V98" s="20">
        <f t="shared" si="8"/>
        <v>24</v>
      </c>
      <c r="W98" s="4" t="s">
        <v>214</v>
      </c>
      <c r="X98" s="38" t="s">
        <v>129</v>
      </c>
    </row>
    <row r="99" spans="1:24" ht="20.149999999999999" customHeight="1" x14ac:dyDescent="0.35">
      <c r="A99" s="4" t="s">
        <v>179</v>
      </c>
      <c r="B99" s="4" t="str">
        <f xml:space="preserve"> TRIM(sales[[#This Row],[أسم العميل]])</f>
        <v>محمد حمدى</v>
      </c>
      <c r="C99" s="4" t="str">
        <f t="shared" si="9"/>
        <v>افراد</v>
      </c>
      <c r="D99" s="4" t="s">
        <v>206</v>
      </c>
      <c r="E99" s="4" t="s">
        <v>30</v>
      </c>
      <c r="F99" s="4" t="s">
        <v>21</v>
      </c>
      <c r="G99" s="4" t="s">
        <v>94</v>
      </c>
      <c r="H99" s="4" t="s">
        <v>97</v>
      </c>
      <c r="I99" s="4" t="s">
        <v>180</v>
      </c>
      <c r="J99" s="20">
        <v>160</v>
      </c>
      <c r="K99" s="4" t="s">
        <v>116</v>
      </c>
      <c r="L99" s="4" t="s">
        <v>108</v>
      </c>
      <c r="M99" s="4"/>
      <c r="N99" s="12">
        <v>5700</v>
      </c>
      <c r="O99" s="12">
        <v>1</v>
      </c>
      <c r="P99" s="12">
        <v>0</v>
      </c>
      <c r="Q99" s="25" t="s">
        <v>222</v>
      </c>
      <c r="R99" s="5">
        <v>45618</v>
      </c>
      <c r="S99" s="5">
        <v>45628</v>
      </c>
      <c r="T99" s="5">
        <v>45623</v>
      </c>
      <c r="U99" s="25" t="str">
        <f>IF(sales[[#This Row],[تاريخ التسليم]]&lt;=sales[[#This Row],[ميعاد التسليم]],"on time","late")</f>
        <v>on time</v>
      </c>
      <c r="V99" s="20">
        <f t="shared" si="8"/>
        <v>5</v>
      </c>
      <c r="W99" s="4" t="s">
        <v>214</v>
      </c>
      <c r="X99" s="35" t="s">
        <v>129</v>
      </c>
    </row>
    <row r="100" spans="1:24" ht="20.149999999999999" customHeight="1" x14ac:dyDescent="0.35">
      <c r="A100" s="4" t="s">
        <v>181</v>
      </c>
      <c r="B100" s="4" t="str">
        <f xml:space="preserve"> TRIM(sales[[#This Row],[أسم العميل]])</f>
        <v>بافلى هانى</v>
      </c>
      <c r="C100" s="4" t="str">
        <f t="shared" si="9"/>
        <v>افراد</v>
      </c>
      <c r="D100" s="4" t="s">
        <v>206</v>
      </c>
      <c r="E100" s="4" t="s">
        <v>182</v>
      </c>
      <c r="F100" s="4" t="s">
        <v>5</v>
      </c>
      <c r="G100" s="4" t="s">
        <v>94</v>
      </c>
      <c r="H100" s="4" t="s">
        <v>177</v>
      </c>
      <c r="I100" s="4" t="s">
        <v>183</v>
      </c>
      <c r="J100" s="20">
        <v>120</v>
      </c>
      <c r="K100" s="4" t="s">
        <v>113</v>
      </c>
      <c r="L100" s="4"/>
      <c r="M100" s="4"/>
      <c r="N100" s="20">
        <v>7965</v>
      </c>
      <c r="O100" s="12">
        <v>1</v>
      </c>
      <c r="P100" s="12">
        <v>0</v>
      </c>
      <c r="Q100" s="25" t="s">
        <v>222</v>
      </c>
      <c r="R100" s="5">
        <v>45620</v>
      </c>
      <c r="S100" s="5">
        <v>45631</v>
      </c>
      <c r="T100" s="5">
        <v>45636</v>
      </c>
      <c r="U100" s="25" t="str">
        <f>IF(sales[[#This Row],[تاريخ التسليم]]&lt;=sales[[#This Row],[ميعاد التسليم]],"on time","late")</f>
        <v>late</v>
      </c>
      <c r="V100" s="20">
        <f t="shared" si="8"/>
        <v>16</v>
      </c>
      <c r="W100" s="4" t="s">
        <v>214</v>
      </c>
      <c r="X100" s="35" t="s">
        <v>129</v>
      </c>
    </row>
    <row r="101" spans="1:24" ht="20.149999999999999" customHeight="1" x14ac:dyDescent="0.35">
      <c r="A101" s="4" t="s">
        <v>25</v>
      </c>
      <c r="B101" s="4" t="str">
        <f xml:space="preserve"> TRIM(sales[[#This Row],[أسم العميل]])</f>
        <v>تاكى</v>
      </c>
      <c r="C101" s="4" t="str">
        <f t="shared" si="9"/>
        <v>شركات</v>
      </c>
      <c r="D101" s="4" t="s">
        <v>206</v>
      </c>
      <c r="E101" s="4" t="s">
        <v>27</v>
      </c>
      <c r="F101" s="4" t="s">
        <v>25</v>
      </c>
      <c r="G101" s="4" t="s">
        <v>107</v>
      </c>
      <c r="H101" s="4" t="s">
        <v>224</v>
      </c>
      <c r="I101" s="4" t="s">
        <v>224</v>
      </c>
      <c r="J101" s="20"/>
      <c r="K101" s="4"/>
      <c r="L101" s="4"/>
      <c r="M101" s="4"/>
      <c r="N101" s="12">
        <v>6000</v>
      </c>
      <c r="O101" s="12">
        <v>1</v>
      </c>
      <c r="P101" s="12">
        <v>0</v>
      </c>
      <c r="Q101" s="25" t="s">
        <v>222</v>
      </c>
      <c r="R101" s="5">
        <v>45615</v>
      </c>
      <c r="S101" s="5">
        <v>45631</v>
      </c>
      <c r="T101" s="5">
        <v>45616</v>
      </c>
      <c r="U101" s="25" t="str">
        <f>IF(sales[[#This Row],[تاريخ التسليم]]&lt;=sales[[#This Row],[ميعاد التسليم]],"on time","late")</f>
        <v>on time</v>
      </c>
      <c r="V101" s="20">
        <f t="shared" si="8"/>
        <v>1</v>
      </c>
      <c r="W101" s="4" t="s">
        <v>215</v>
      </c>
      <c r="X101" s="35" t="s">
        <v>129</v>
      </c>
    </row>
    <row r="102" spans="1:24" ht="20.149999999999999" customHeight="1" x14ac:dyDescent="0.35">
      <c r="A102" s="4" t="s">
        <v>184</v>
      </c>
      <c r="B102" s="4" t="str">
        <f xml:space="preserve"> TRIM(sales[[#This Row],[أسم العميل]])</f>
        <v>رنا ميلاد</v>
      </c>
      <c r="C102" s="4" t="str">
        <f t="shared" si="9"/>
        <v>افراد</v>
      </c>
      <c r="D102" s="4" t="s">
        <v>205</v>
      </c>
      <c r="E102" s="4" t="s">
        <v>185</v>
      </c>
      <c r="F102" s="4" t="s">
        <v>5</v>
      </c>
      <c r="G102" s="4" t="s">
        <v>186</v>
      </c>
      <c r="H102" s="4"/>
      <c r="I102" s="4" t="s">
        <v>187</v>
      </c>
      <c r="J102" s="20"/>
      <c r="K102" s="4"/>
      <c r="L102" s="4"/>
      <c r="M102" s="4"/>
      <c r="N102" s="12">
        <v>8449</v>
      </c>
      <c r="O102" s="12">
        <v>1</v>
      </c>
      <c r="P102" s="12">
        <v>8449</v>
      </c>
      <c r="Q102" s="25" t="s">
        <v>12</v>
      </c>
      <c r="R102" s="5">
        <v>45623</v>
      </c>
      <c r="S102" s="5">
        <v>45636</v>
      </c>
      <c r="T102" s="5">
        <v>45649</v>
      </c>
      <c r="U102" s="25" t="str">
        <f>IF(sales[[#This Row],[تاريخ التسليم]]&lt;=sales[[#This Row],[ميعاد التسليم]],"on time","late")</f>
        <v>late</v>
      </c>
      <c r="V102" s="20">
        <f t="shared" si="8"/>
        <v>26</v>
      </c>
      <c r="W102" s="4" t="s">
        <v>216</v>
      </c>
      <c r="X102" s="35" t="s">
        <v>129</v>
      </c>
    </row>
    <row r="103" spans="1:24" ht="20.149999999999999" customHeight="1" x14ac:dyDescent="0.35">
      <c r="A103" s="4" t="s">
        <v>188</v>
      </c>
      <c r="B103" s="4" t="str">
        <f xml:space="preserve"> TRIM(sales[[#This Row],[أسم العميل]])</f>
        <v>محمد ناجى</v>
      </c>
      <c r="C103" s="4" t="str">
        <f t="shared" si="9"/>
        <v>افراد</v>
      </c>
      <c r="D103" s="4" t="s">
        <v>206</v>
      </c>
      <c r="E103" s="4" t="s">
        <v>36</v>
      </c>
      <c r="F103" s="4" t="s">
        <v>5</v>
      </c>
      <c r="G103" s="4" t="s">
        <v>186</v>
      </c>
      <c r="H103" s="4" t="s">
        <v>106</v>
      </c>
      <c r="I103" s="4" t="s">
        <v>189</v>
      </c>
      <c r="J103" s="20"/>
      <c r="K103" s="4" t="s">
        <v>108</v>
      </c>
      <c r="L103" s="4" t="s">
        <v>225</v>
      </c>
      <c r="M103" s="4"/>
      <c r="N103" s="20">
        <v>6211</v>
      </c>
      <c r="O103" s="12">
        <v>1</v>
      </c>
      <c r="P103" s="12">
        <v>0</v>
      </c>
      <c r="Q103" s="25" t="s">
        <v>222</v>
      </c>
      <c r="R103" s="5">
        <v>45623</v>
      </c>
      <c r="S103" s="5">
        <v>45636</v>
      </c>
      <c r="T103" s="5">
        <v>45645</v>
      </c>
      <c r="U103" s="25" t="str">
        <f>IF(sales[[#This Row],[تاريخ التسليم]]&lt;=sales[[#This Row],[ميعاد التسليم]],"on time","late")</f>
        <v>late</v>
      </c>
      <c r="V103" s="20">
        <f t="shared" si="8"/>
        <v>22</v>
      </c>
      <c r="W103" s="4" t="s">
        <v>214</v>
      </c>
      <c r="X103" s="35" t="s">
        <v>129</v>
      </c>
    </row>
    <row r="104" spans="1:24" ht="20.149999999999999" customHeight="1" x14ac:dyDescent="0.35">
      <c r="A104" s="2" t="s">
        <v>190</v>
      </c>
      <c r="B104" s="2" t="str">
        <f xml:space="preserve"> TRIM(sales[[#This Row],[أسم العميل]])</f>
        <v>احمد عبد الستار</v>
      </c>
      <c r="C104" s="2" t="str">
        <f t="shared" si="9"/>
        <v>افراد</v>
      </c>
      <c r="D104" s="4" t="s">
        <v>205</v>
      </c>
      <c r="E104" s="2" t="s">
        <v>191</v>
      </c>
      <c r="F104" s="2" t="s">
        <v>5</v>
      </c>
      <c r="G104" s="2" t="s">
        <v>94</v>
      </c>
      <c r="H104" s="2" t="s">
        <v>106</v>
      </c>
      <c r="I104" s="2" t="s">
        <v>99</v>
      </c>
      <c r="J104" s="22">
        <v>100</v>
      </c>
      <c r="K104" s="2" t="s">
        <v>109</v>
      </c>
      <c r="L104" s="2"/>
      <c r="M104" s="2"/>
      <c r="N104" s="11">
        <v>14905</v>
      </c>
      <c r="O104" s="11">
        <v>1</v>
      </c>
      <c r="P104" s="11">
        <v>14905</v>
      </c>
      <c r="Q104" s="29" t="s">
        <v>12</v>
      </c>
      <c r="R104" s="3">
        <v>45625</v>
      </c>
      <c r="S104" s="3">
        <v>45641</v>
      </c>
      <c r="T104" s="3"/>
      <c r="U104" s="28" t="s">
        <v>281</v>
      </c>
      <c r="V104" s="22"/>
      <c r="W104" s="2" t="s">
        <v>214</v>
      </c>
      <c r="X104" s="37" t="s">
        <v>134</v>
      </c>
    </row>
    <row r="105" spans="1:24" ht="20.149999999999999" customHeight="1" x14ac:dyDescent="0.35">
      <c r="A105" s="2" t="s">
        <v>192</v>
      </c>
      <c r="B105" s="2" t="str">
        <f xml:space="preserve"> TRIM(sales[[#This Row],[أسم العميل]])</f>
        <v>نور</v>
      </c>
      <c r="C105" s="2" t="str">
        <f t="shared" si="9"/>
        <v>افراد</v>
      </c>
      <c r="D105" s="4" t="s">
        <v>206</v>
      </c>
      <c r="E105" s="2" t="s">
        <v>42</v>
      </c>
      <c r="F105" s="2" t="s">
        <v>5</v>
      </c>
      <c r="G105" s="2" t="s">
        <v>186</v>
      </c>
      <c r="H105" s="2" t="s">
        <v>106</v>
      </c>
      <c r="I105" s="2" t="s">
        <v>189</v>
      </c>
      <c r="J105" s="22"/>
      <c r="K105" s="2" t="s">
        <v>109</v>
      </c>
      <c r="L105" s="2" t="s">
        <v>225</v>
      </c>
      <c r="M105" s="2"/>
      <c r="N105" s="11">
        <v>10249</v>
      </c>
      <c r="O105" s="11">
        <v>1</v>
      </c>
      <c r="P105" s="11">
        <v>10249</v>
      </c>
      <c r="Q105" s="29" t="s">
        <v>12</v>
      </c>
      <c r="R105" s="3">
        <v>45626</v>
      </c>
      <c r="S105" s="3">
        <v>45638</v>
      </c>
      <c r="T105" s="3"/>
      <c r="U105" s="28" t="s">
        <v>281</v>
      </c>
      <c r="V105" s="22"/>
      <c r="W105" s="2" t="s">
        <v>214</v>
      </c>
      <c r="X105" s="37" t="s">
        <v>134</v>
      </c>
    </row>
    <row r="106" spans="1:24" ht="20.149999999999999" customHeight="1" x14ac:dyDescent="0.35">
      <c r="A106" s="2" t="s">
        <v>193</v>
      </c>
      <c r="B106" s="2" t="str">
        <f xml:space="preserve"> TRIM(sales[[#This Row],[أسم العميل]])</f>
        <v>نور</v>
      </c>
      <c r="C106" s="2" t="str">
        <f t="shared" si="9"/>
        <v>افراد</v>
      </c>
      <c r="D106" s="4" t="s">
        <v>206</v>
      </c>
      <c r="E106" s="2" t="s">
        <v>42</v>
      </c>
      <c r="F106" s="2" t="s">
        <v>5</v>
      </c>
      <c r="G106" s="2" t="s">
        <v>186</v>
      </c>
      <c r="H106" s="2" t="s">
        <v>126</v>
      </c>
      <c r="I106" s="2"/>
      <c r="J106" s="22"/>
      <c r="K106" s="2" t="s">
        <v>109</v>
      </c>
      <c r="L106" s="2" t="s">
        <v>225</v>
      </c>
      <c r="M106" s="2"/>
      <c r="N106" s="11">
        <v>9029</v>
      </c>
      <c r="O106" s="11">
        <v>1</v>
      </c>
      <c r="P106" s="11">
        <v>9029</v>
      </c>
      <c r="Q106" s="29" t="s">
        <v>12</v>
      </c>
      <c r="R106" s="3">
        <v>45626</v>
      </c>
      <c r="S106" s="3">
        <v>45638</v>
      </c>
      <c r="T106" s="3"/>
      <c r="U106" s="28" t="s">
        <v>281</v>
      </c>
      <c r="V106" s="22"/>
      <c r="W106" s="2" t="s">
        <v>214</v>
      </c>
      <c r="X106" s="37" t="s">
        <v>134</v>
      </c>
    </row>
    <row r="107" spans="1:24" ht="20.149999999999999" customHeight="1" x14ac:dyDescent="0.35">
      <c r="A107" s="16" t="s">
        <v>194</v>
      </c>
      <c r="B107" s="16" t="str">
        <f xml:space="preserve"> TRIM(sales[[#This Row],[أسم العميل]])</f>
        <v>تامر</v>
      </c>
      <c r="C107" s="16" t="str">
        <f t="shared" si="9"/>
        <v>افراد</v>
      </c>
      <c r="D107" s="4" t="s">
        <v>90</v>
      </c>
      <c r="E107" s="16" t="s">
        <v>90</v>
      </c>
      <c r="F107" s="16" t="s">
        <v>5</v>
      </c>
      <c r="G107" s="4" t="s">
        <v>186</v>
      </c>
      <c r="H107" s="4" t="s">
        <v>124</v>
      </c>
      <c r="I107" s="16"/>
      <c r="J107" s="34"/>
      <c r="K107" s="16" t="s">
        <v>109</v>
      </c>
      <c r="L107" s="16" t="s">
        <v>195</v>
      </c>
      <c r="M107" s="16"/>
      <c r="N107" s="17">
        <v>9029</v>
      </c>
      <c r="O107" s="17">
        <v>1</v>
      </c>
      <c r="P107" s="17">
        <v>9029</v>
      </c>
      <c r="Q107" s="32" t="s">
        <v>12</v>
      </c>
      <c r="R107" s="18">
        <v>45626</v>
      </c>
      <c r="S107" s="18">
        <v>45638</v>
      </c>
      <c r="T107" s="3"/>
      <c r="U107" s="28" t="s">
        <v>281</v>
      </c>
      <c r="V107" s="22"/>
      <c r="W107" s="2" t="s">
        <v>214</v>
      </c>
      <c r="X107" s="37" t="s">
        <v>134</v>
      </c>
    </row>
    <row r="108" spans="1:24" ht="20.149999999999999" customHeight="1" x14ac:dyDescent="0.35">
      <c r="A108" s="2" t="s">
        <v>196</v>
      </c>
      <c r="B108" s="2" t="str">
        <f xml:space="preserve"> TRIM(sales[[#This Row],[أسم العميل]])</f>
        <v>هناء اسامه</v>
      </c>
      <c r="C108" s="2" t="str">
        <f t="shared" si="9"/>
        <v>افراد</v>
      </c>
      <c r="D108" s="4" t="s">
        <v>206</v>
      </c>
      <c r="E108" s="2" t="s">
        <v>197</v>
      </c>
      <c r="F108" s="2" t="s">
        <v>5</v>
      </c>
      <c r="G108" s="2" t="s">
        <v>94</v>
      </c>
      <c r="H108" s="2" t="s">
        <v>106</v>
      </c>
      <c r="I108" s="2" t="s">
        <v>96</v>
      </c>
      <c r="J108" s="22">
        <v>80</v>
      </c>
      <c r="K108" s="2" t="s">
        <v>108</v>
      </c>
      <c r="L108" s="2"/>
      <c r="M108" s="2"/>
      <c r="N108" s="11">
        <v>12099</v>
      </c>
      <c r="O108" s="11">
        <v>1</v>
      </c>
      <c r="P108" s="11">
        <v>12099</v>
      </c>
      <c r="Q108" s="29" t="s">
        <v>12</v>
      </c>
      <c r="R108" s="3">
        <v>45628</v>
      </c>
      <c r="S108" s="3">
        <v>45643</v>
      </c>
      <c r="T108" s="3"/>
      <c r="U108" s="28" t="s">
        <v>281</v>
      </c>
      <c r="V108" s="22"/>
      <c r="W108" s="2" t="s">
        <v>214</v>
      </c>
      <c r="X108" s="37" t="s">
        <v>134</v>
      </c>
    </row>
    <row r="109" spans="1:24" ht="20.149999999999999" customHeight="1" x14ac:dyDescent="0.35">
      <c r="A109" s="4" t="s">
        <v>52</v>
      </c>
      <c r="B109" s="4" t="str">
        <f xml:space="preserve"> TRIM(sales[[#This Row],[أسم العميل]])</f>
        <v>اوسكار راتن</v>
      </c>
      <c r="C109" s="4" t="str">
        <f t="shared" si="9"/>
        <v>شركات</v>
      </c>
      <c r="D109" s="4" t="s">
        <v>208</v>
      </c>
      <c r="E109" s="4" t="s">
        <v>130</v>
      </c>
      <c r="F109" s="4" t="s">
        <v>34</v>
      </c>
      <c r="G109" s="4" t="s">
        <v>94</v>
      </c>
      <c r="H109" s="4" t="s">
        <v>106</v>
      </c>
      <c r="I109" s="4" t="s">
        <v>175</v>
      </c>
      <c r="J109" s="20">
        <v>90</v>
      </c>
      <c r="K109" s="4" t="s">
        <v>111</v>
      </c>
      <c r="L109" s="4"/>
      <c r="M109" s="4"/>
      <c r="N109" s="12">
        <v>5217</v>
      </c>
      <c r="O109" s="12">
        <v>1</v>
      </c>
      <c r="P109" s="12">
        <v>0</v>
      </c>
      <c r="Q109" s="25" t="s">
        <v>54</v>
      </c>
      <c r="R109" s="5">
        <v>45627</v>
      </c>
      <c r="S109" s="5">
        <v>45640</v>
      </c>
      <c r="T109" s="5">
        <v>45636</v>
      </c>
      <c r="U109" s="25" t="str">
        <f>IF(sales[[#This Row],[تاريخ التسليم]]&lt;=sales[[#This Row],[ميعاد التسليم]],"on time","late")</f>
        <v>on time</v>
      </c>
      <c r="V109" s="20">
        <f t="shared" ref="V109:V114" si="10">T109-R109</f>
        <v>9</v>
      </c>
      <c r="W109" s="4" t="s">
        <v>214</v>
      </c>
      <c r="X109" s="35" t="s">
        <v>129</v>
      </c>
    </row>
    <row r="110" spans="1:24" ht="20.149999999999999" customHeight="1" x14ac:dyDescent="0.35">
      <c r="A110" s="4" t="s">
        <v>198</v>
      </c>
      <c r="B110" s="4" t="str">
        <f xml:space="preserve"> TRIM(sales[[#This Row],[أسم العميل]])</f>
        <v>محمد عادل</v>
      </c>
      <c r="C110" s="4" t="str">
        <f t="shared" si="9"/>
        <v>افراد</v>
      </c>
      <c r="D110" s="4" t="s">
        <v>206</v>
      </c>
      <c r="E110" s="4" t="s">
        <v>84</v>
      </c>
      <c r="F110" s="4" t="s">
        <v>5</v>
      </c>
      <c r="G110" s="4" t="s">
        <v>94</v>
      </c>
      <c r="H110" s="4" t="s">
        <v>95</v>
      </c>
      <c r="I110" s="4"/>
      <c r="J110" s="20"/>
      <c r="K110" s="4" t="s">
        <v>109</v>
      </c>
      <c r="L110" s="4" t="s">
        <v>109</v>
      </c>
      <c r="M110" s="4"/>
      <c r="N110" s="20">
        <v>6211</v>
      </c>
      <c r="O110" s="12">
        <v>1</v>
      </c>
      <c r="P110" s="12">
        <v>0</v>
      </c>
      <c r="Q110" s="25" t="s">
        <v>222</v>
      </c>
      <c r="R110" s="5">
        <v>45630</v>
      </c>
      <c r="S110" s="5">
        <v>45640</v>
      </c>
      <c r="T110" s="5">
        <v>45645</v>
      </c>
      <c r="U110" s="25" t="str">
        <f>IF(sales[[#This Row],[تاريخ التسليم]]&lt;=sales[[#This Row],[ميعاد التسليم]],"on time","late")</f>
        <v>late</v>
      </c>
      <c r="V110" s="20">
        <f t="shared" si="10"/>
        <v>15</v>
      </c>
      <c r="W110" s="4" t="s">
        <v>214</v>
      </c>
      <c r="X110" s="35" t="s">
        <v>129</v>
      </c>
    </row>
    <row r="111" spans="1:24" ht="20.149999999999999" customHeight="1" x14ac:dyDescent="0.35">
      <c r="A111" s="4" t="s">
        <v>199</v>
      </c>
      <c r="B111" s="4" t="str">
        <f xml:space="preserve"> TRIM(sales[[#This Row],[أسم العميل]])</f>
        <v>مريم عنان</v>
      </c>
      <c r="C111" s="4" t="str">
        <f t="shared" si="9"/>
        <v>افراد</v>
      </c>
      <c r="D111" s="4" t="s">
        <v>206</v>
      </c>
      <c r="E111" s="4" t="s">
        <v>200</v>
      </c>
      <c r="F111" s="4" t="s">
        <v>31</v>
      </c>
      <c r="G111" s="4" t="s">
        <v>94</v>
      </c>
      <c r="H111" s="4" t="s">
        <v>106</v>
      </c>
      <c r="I111" s="4" t="s">
        <v>98</v>
      </c>
      <c r="J111" s="20"/>
      <c r="K111" s="4" t="s">
        <v>109</v>
      </c>
      <c r="L111" s="4"/>
      <c r="M111" s="4"/>
      <c r="N111" s="20">
        <v>7707</v>
      </c>
      <c r="O111" s="12">
        <v>1</v>
      </c>
      <c r="P111" s="12">
        <v>0</v>
      </c>
      <c r="Q111" s="25" t="s">
        <v>222</v>
      </c>
      <c r="R111" s="5">
        <v>45635</v>
      </c>
      <c r="S111" s="5">
        <v>45657</v>
      </c>
      <c r="T111" s="5">
        <v>45638</v>
      </c>
      <c r="U111" s="25" t="str">
        <f>IF(sales[[#This Row],[تاريخ التسليم]]&lt;=sales[[#This Row],[ميعاد التسليم]],"on time","late")</f>
        <v>on time</v>
      </c>
      <c r="V111" s="20">
        <f t="shared" si="10"/>
        <v>3</v>
      </c>
      <c r="W111" s="4" t="s">
        <v>214</v>
      </c>
      <c r="X111" s="35" t="s">
        <v>129</v>
      </c>
    </row>
    <row r="112" spans="1:24" ht="20.149999999999999" customHeight="1" x14ac:dyDescent="0.35">
      <c r="A112" s="4" t="s">
        <v>201</v>
      </c>
      <c r="B112" s="4" t="str">
        <f xml:space="preserve"> TRIM(sales[[#This Row],[أسم العميل]])</f>
        <v>هبه عطيه</v>
      </c>
      <c r="C112" s="4" t="str">
        <f t="shared" si="9"/>
        <v>افراد</v>
      </c>
      <c r="D112" s="4" t="s">
        <v>206</v>
      </c>
      <c r="E112" s="4" t="s">
        <v>42</v>
      </c>
      <c r="F112" s="4" t="s">
        <v>5</v>
      </c>
      <c r="G112" s="4" t="s">
        <v>186</v>
      </c>
      <c r="H112" s="4" t="s">
        <v>106</v>
      </c>
      <c r="I112" s="4" t="s">
        <v>189</v>
      </c>
      <c r="J112" s="20"/>
      <c r="K112" s="4" t="s">
        <v>109</v>
      </c>
      <c r="L112" s="4" t="s">
        <v>225</v>
      </c>
      <c r="M112" s="4"/>
      <c r="N112" s="12">
        <v>11199</v>
      </c>
      <c r="O112" s="12">
        <v>1</v>
      </c>
      <c r="P112" s="12">
        <v>0</v>
      </c>
      <c r="Q112" s="25" t="s">
        <v>222</v>
      </c>
      <c r="R112" s="5">
        <v>45638</v>
      </c>
      <c r="S112" s="5">
        <v>45650</v>
      </c>
      <c r="T112" s="5">
        <v>45645</v>
      </c>
      <c r="U112" s="25" t="str">
        <f>IF(sales[[#This Row],[تاريخ التسليم]]&lt;=sales[[#This Row],[ميعاد التسليم]],"on time","late")</f>
        <v>on time</v>
      </c>
      <c r="V112" s="20">
        <f t="shared" si="10"/>
        <v>7</v>
      </c>
      <c r="W112" s="4" t="s">
        <v>214</v>
      </c>
      <c r="X112" s="35" t="s">
        <v>129</v>
      </c>
    </row>
    <row r="113" spans="1:24" ht="20.149999999999999" customHeight="1" x14ac:dyDescent="0.35">
      <c r="A113" s="4" t="s">
        <v>202</v>
      </c>
      <c r="B113" s="4" t="str">
        <f xml:space="preserve"> TRIM(sales[[#This Row],[أسم العميل]])</f>
        <v>حمدى ذكرى</v>
      </c>
      <c r="C113" s="4" t="str">
        <f t="shared" si="9"/>
        <v>افراد</v>
      </c>
      <c r="D113" s="4" t="s">
        <v>204</v>
      </c>
      <c r="E113" s="4" t="s">
        <v>176</v>
      </c>
      <c r="F113" s="4" t="s">
        <v>5</v>
      </c>
      <c r="G113" s="4" t="s">
        <v>94</v>
      </c>
      <c r="H113" s="4" t="s">
        <v>106</v>
      </c>
      <c r="I113" s="4" t="s">
        <v>96</v>
      </c>
      <c r="J113" s="20">
        <v>80</v>
      </c>
      <c r="K113" s="4" t="s">
        <v>109</v>
      </c>
      <c r="L113" s="4"/>
      <c r="M113" s="4"/>
      <c r="N113" s="12">
        <v>13099</v>
      </c>
      <c r="O113" s="12">
        <v>1</v>
      </c>
      <c r="P113" s="12">
        <v>0</v>
      </c>
      <c r="Q113" s="25" t="s">
        <v>222</v>
      </c>
      <c r="R113" s="5">
        <v>45638</v>
      </c>
      <c r="S113" s="5">
        <v>45654</v>
      </c>
      <c r="T113" s="5">
        <v>45655</v>
      </c>
      <c r="U113" s="25" t="str">
        <f>IF(sales[[#This Row],[تاريخ التسليم]]&lt;=sales[[#This Row],[ميعاد التسليم]],"on time","late")</f>
        <v>late</v>
      </c>
      <c r="V113" s="20">
        <f t="shared" si="10"/>
        <v>17</v>
      </c>
      <c r="W113" s="4" t="s">
        <v>214</v>
      </c>
      <c r="X113" s="35" t="s">
        <v>129</v>
      </c>
    </row>
    <row r="114" spans="1:24" ht="20.149999999999999" customHeight="1" x14ac:dyDescent="0.35">
      <c r="A114" s="4" t="s">
        <v>31</v>
      </c>
      <c r="B114" s="4" t="str">
        <f xml:space="preserve"> TRIM(sales[[#This Row],[أسم العميل]])</f>
        <v>شيك هومز</v>
      </c>
      <c r="C114" s="4" t="str">
        <f t="shared" si="9"/>
        <v>شركات</v>
      </c>
      <c r="D114" s="4" t="s">
        <v>206</v>
      </c>
      <c r="E114" s="4" t="s">
        <v>145</v>
      </c>
      <c r="F114" s="4" t="s">
        <v>31</v>
      </c>
      <c r="G114" s="4" t="s">
        <v>107</v>
      </c>
      <c r="H114" s="4" t="s">
        <v>105</v>
      </c>
      <c r="I114" s="4" t="s">
        <v>164</v>
      </c>
      <c r="J114" s="20"/>
      <c r="K114" s="4" t="s">
        <v>109</v>
      </c>
      <c r="L114" s="4" t="s">
        <v>109</v>
      </c>
      <c r="M114" s="4"/>
      <c r="N114" s="12">
        <v>8700</v>
      </c>
      <c r="O114" s="12">
        <v>4</v>
      </c>
      <c r="P114" s="12">
        <v>0</v>
      </c>
      <c r="Q114" s="25" t="s">
        <v>54</v>
      </c>
      <c r="R114" s="5">
        <v>45640</v>
      </c>
      <c r="S114" s="5">
        <v>45662</v>
      </c>
      <c r="T114" s="5">
        <v>45655</v>
      </c>
      <c r="U114" s="25" t="str">
        <f>IF(sales[[#This Row],[تاريخ التسليم]]&lt;=sales[[#This Row],[ميعاد التسليم]],"on time","late")</f>
        <v>on time</v>
      </c>
      <c r="V114" s="20">
        <f t="shared" si="10"/>
        <v>15</v>
      </c>
      <c r="W114" s="4" t="s">
        <v>214</v>
      </c>
      <c r="X114" s="35" t="s">
        <v>129</v>
      </c>
    </row>
    <row r="115" spans="1:24" ht="20.149999999999999" customHeight="1" x14ac:dyDescent="0.35">
      <c r="A115"/>
      <c r="B115"/>
      <c r="C115"/>
      <c r="D115"/>
      <c r="E115"/>
      <c r="F115"/>
      <c r="G115"/>
      <c r="H115"/>
      <c r="I115"/>
      <c r="J115"/>
      <c r="K115"/>
      <c r="L115"/>
      <c r="M115"/>
      <c r="N115"/>
      <c r="O115"/>
      <c r="P115"/>
      <c r="Q115"/>
      <c r="R115"/>
      <c r="S115"/>
      <c r="T115"/>
      <c r="U115"/>
      <c r="V115"/>
      <c r="W115" s="1"/>
    </row>
    <row r="116" spans="1:24" ht="20.149999999999999" customHeight="1" x14ac:dyDescent="0.35">
      <c r="A116"/>
      <c r="B116"/>
      <c r="C116"/>
      <c r="D116"/>
      <c r="E116"/>
      <c r="F116"/>
      <c r="G116"/>
      <c r="H116"/>
      <c r="I116"/>
      <c r="J116"/>
      <c r="K116"/>
      <c r="L116"/>
      <c r="M116"/>
      <c r="N116"/>
      <c r="O116"/>
      <c r="P116"/>
      <c r="Q116"/>
      <c r="R116"/>
      <c r="S116"/>
      <c r="T116"/>
      <c r="U116"/>
      <c r="V116"/>
      <c r="W116" s="1"/>
    </row>
    <row r="117" spans="1:24" ht="20.149999999999999" customHeight="1" x14ac:dyDescent="0.35">
      <c r="A117"/>
      <c r="B117"/>
      <c r="C117"/>
      <c r="D117"/>
      <c r="E117"/>
      <c r="F117"/>
      <c r="G117"/>
      <c r="H117"/>
      <c r="I117"/>
      <c r="J117"/>
      <c r="K117"/>
      <c r="L117"/>
      <c r="M117"/>
      <c r="N117"/>
      <c r="O117"/>
      <c r="P117"/>
      <c r="Q117"/>
      <c r="R117"/>
      <c r="S117"/>
      <c r="T117"/>
      <c r="U117"/>
      <c r="V117"/>
      <c r="W117" s="1"/>
    </row>
    <row r="118" spans="1:24" ht="20.149999999999999" customHeight="1" x14ac:dyDescent="0.35">
      <c r="A118"/>
      <c r="B118"/>
      <c r="C118"/>
      <c r="D118"/>
      <c r="E118"/>
      <c r="F118"/>
      <c r="G118"/>
      <c r="H118"/>
      <c r="I118"/>
      <c r="J118"/>
      <c r="K118"/>
      <c r="L118"/>
      <c r="M118"/>
      <c r="N118"/>
      <c r="O118"/>
      <c r="P118"/>
      <c r="Q118"/>
      <c r="R118"/>
      <c r="S118"/>
      <c r="T118"/>
      <c r="U118"/>
      <c r="V118"/>
      <c r="W118" s="1"/>
    </row>
    <row r="119" spans="1:24" ht="20.149999999999999" customHeight="1" x14ac:dyDescent="0.35">
      <c r="A119"/>
      <c r="B119"/>
      <c r="C119"/>
      <c r="D119"/>
      <c r="E119"/>
      <c r="F119"/>
      <c r="G119"/>
      <c r="H119"/>
      <c r="I119"/>
      <c r="J119"/>
      <c r="K119"/>
      <c r="L119"/>
      <c r="M119"/>
      <c r="N119"/>
      <c r="O119"/>
      <c r="P119"/>
      <c r="Q119"/>
      <c r="R119"/>
      <c r="S119"/>
      <c r="T119"/>
      <c r="U119"/>
      <c r="V119"/>
      <c r="W119" s="1"/>
    </row>
    <row r="120" spans="1:24" ht="20.149999999999999" customHeight="1" x14ac:dyDescent="0.35">
      <c r="A120"/>
      <c r="B120"/>
      <c r="C120"/>
      <c r="D120"/>
      <c r="E120"/>
      <c r="F120"/>
      <c r="G120"/>
      <c r="H120"/>
      <c r="I120"/>
      <c r="J120"/>
      <c r="K120"/>
      <c r="L120"/>
      <c r="M120"/>
      <c r="N120"/>
      <c r="O120"/>
      <c r="P120"/>
      <c r="Q120"/>
      <c r="R120"/>
      <c r="S120"/>
      <c r="T120"/>
      <c r="U120"/>
      <c r="V120"/>
      <c r="W120" s="1"/>
    </row>
    <row r="121" spans="1:24" ht="20.149999999999999" customHeight="1" x14ac:dyDescent="0.35">
      <c r="A121"/>
      <c r="B121"/>
      <c r="C121"/>
      <c r="D121"/>
      <c r="E121"/>
      <c r="F121"/>
      <c r="G121"/>
      <c r="H121"/>
      <c r="I121"/>
      <c r="J121"/>
      <c r="K121"/>
      <c r="L121"/>
      <c r="M121"/>
      <c r="N121"/>
      <c r="O121"/>
      <c r="P121"/>
      <c r="Q121"/>
      <c r="R121"/>
      <c r="S121"/>
      <c r="T121"/>
      <c r="U121"/>
      <c r="V121"/>
      <c r="W121" s="1"/>
    </row>
    <row r="122" spans="1:24" ht="20.149999999999999" customHeight="1" x14ac:dyDescent="0.35">
      <c r="A122"/>
      <c r="B122"/>
      <c r="C122"/>
      <c r="D122"/>
      <c r="E122"/>
      <c r="F122"/>
      <c r="G122"/>
      <c r="H122"/>
      <c r="I122"/>
      <c r="J122"/>
      <c r="K122"/>
      <c r="L122"/>
      <c r="M122"/>
      <c r="N122"/>
      <c r="O122"/>
      <c r="P122"/>
      <c r="Q122"/>
      <c r="R122"/>
      <c r="S122"/>
      <c r="T122"/>
      <c r="U122"/>
      <c r="V122"/>
      <c r="W122" s="1"/>
    </row>
    <row r="123" spans="1:24" ht="20.149999999999999" customHeight="1" x14ac:dyDescent="0.35">
      <c r="A123"/>
      <c r="B123"/>
      <c r="C123"/>
      <c r="D123"/>
      <c r="E123"/>
      <c r="F123"/>
      <c r="G123"/>
      <c r="H123"/>
      <c r="I123"/>
      <c r="J123"/>
      <c r="K123"/>
      <c r="L123"/>
      <c r="M123"/>
      <c r="N123"/>
      <c r="O123"/>
      <c r="P123"/>
      <c r="Q123"/>
      <c r="R123"/>
      <c r="S123"/>
      <c r="T123"/>
      <c r="U123"/>
      <c r="V123"/>
      <c r="W123" s="1"/>
    </row>
    <row r="124" spans="1:24" ht="20.149999999999999" customHeight="1" x14ac:dyDescent="0.35">
      <c r="A124"/>
      <c r="B124"/>
      <c r="C124"/>
      <c r="D124"/>
      <c r="E124"/>
      <c r="F124"/>
      <c r="G124"/>
      <c r="H124"/>
      <c r="I124"/>
      <c r="J124"/>
      <c r="K124"/>
      <c r="L124"/>
      <c r="M124"/>
      <c r="N124"/>
      <c r="O124"/>
      <c r="P124"/>
      <c r="Q124"/>
      <c r="R124"/>
      <c r="S124"/>
      <c r="T124"/>
      <c r="U124"/>
      <c r="V124"/>
      <c r="W124" s="1"/>
    </row>
    <row r="125" spans="1:24" ht="20.149999999999999" customHeight="1" x14ac:dyDescent="0.35">
      <c r="A125"/>
      <c r="B125"/>
      <c r="C125"/>
      <c r="D125"/>
      <c r="E125"/>
      <c r="F125"/>
      <c r="G125"/>
      <c r="H125"/>
      <c r="I125"/>
      <c r="J125"/>
      <c r="K125"/>
      <c r="L125"/>
      <c r="M125"/>
      <c r="N125"/>
      <c r="O125"/>
      <c r="P125"/>
      <c r="Q125"/>
      <c r="R125"/>
      <c r="S125"/>
      <c r="T125"/>
      <c r="U125"/>
      <c r="V125"/>
      <c r="W125" s="1"/>
    </row>
    <row r="126" spans="1:24" ht="20.149999999999999" customHeight="1" x14ac:dyDescent="0.35">
      <c r="A126"/>
      <c r="B126"/>
      <c r="C126"/>
      <c r="D126"/>
      <c r="E126"/>
      <c r="F126"/>
      <c r="G126"/>
      <c r="H126"/>
      <c r="I126"/>
      <c r="J126"/>
      <c r="K126"/>
      <c r="L126"/>
      <c r="M126"/>
      <c r="N126"/>
      <c r="O126"/>
      <c r="P126"/>
      <c r="Q126"/>
      <c r="R126"/>
      <c r="S126"/>
      <c r="T126"/>
      <c r="U126"/>
      <c r="V126"/>
      <c r="W126" s="1"/>
    </row>
    <row r="127" spans="1:24" ht="20.149999999999999" customHeight="1" x14ac:dyDescent="0.35">
      <c r="A127"/>
      <c r="B127"/>
      <c r="C127"/>
      <c r="D127"/>
      <c r="E127"/>
      <c r="F127"/>
      <c r="G127"/>
      <c r="H127"/>
      <c r="I127"/>
      <c r="J127"/>
      <c r="K127"/>
      <c r="L127"/>
      <c r="M127"/>
      <c r="N127"/>
      <c r="O127"/>
      <c r="P127"/>
      <c r="Q127"/>
      <c r="R127"/>
      <c r="S127"/>
      <c r="T127"/>
      <c r="U127"/>
      <c r="V127"/>
      <c r="W127" s="1"/>
    </row>
    <row r="128" spans="1:24" ht="20.149999999999999" customHeight="1" x14ac:dyDescent="0.35">
      <c r="Q128" s="9"/>
    </row>
    <row r="129" spans="17:21" ht="20.149999999999999" customHeight="1" x14ac:dyDescent="0.35">
      <c r="Q129" s="9"/>
      <c r="R129" s="19" t="e" cm="1">
        <f t="array" ref="R129">AVERAGE(Q7:Q126-P7:P126)</f>
        <v>#VALUE!</v>
      </c>
      <c r="U129" s="19">
        <f>AVERAGE(T7:T126)</f>
        <v>45589.772727272728</v>
      </c>
    </row>
    <row r="130" spans="17:21" ht="20.149999999999999" customHeight="1" x14ac:dyDescent="0.35">
      <c r="Q130" s="9"/>
    </row>
    <row r="131" spans="17:21" ht="20.149999999999999" customHeight="1" x14ac:dyDescent="0.35">
      <c r="Q131" s="9"/>
    </row>
    <row r="132" spans="17:21" ht="20.149999999999999" customHeight="1" x14ac:dyDescent="0.35">
      <c r="Q132" s="9"/>
    </row>
    <row r="133" spans="17:21" ht="20.149999999999999" customHeight="1" x14ac:dyDescent="0.35">
      <c r="Q133" s="9"/>
    </row>
    <row r="134" spans="17:21" ht="20.149999999999999" customHeight="1" x14ac:dyDescent="0.35">
      <c r="Q134" s="9"/>
    </row>
    <row r="135" spans="17:21" ht="20.149999999999999" customHeight="1" x14ac:dyDescent="0.35">
      <c r="Q135" s="9"/>
    </row>
    <row r="136" spans="17:21" ht="20.149999999999999" customHeight="1" x14ac:dyDescent="0.35">
      <c r="Q136" s="9"/>
    </row>
    <row r="137" spans="17:21" ht="20.149999999999999" customHeight="1" x14ac:dyDescent="0.35">
      <c r="Q137" s="9"/>
    </row>
    <row r="138" spans="17:21" ht="20.149999999999999" customHeight="1" x14ac:dyDescent="0.35">
      <c r="Q138" s="9"/>
    </row>
    <row r="139" spans="17:21" ht="20.149999999999999" customHeight="1" x14ac:dyDescent="0.35">
      <c r="Q139" s="9"/>
    </row>
    <row r="140" spans="17:21" ht="20.149999999999999" customHeight="1" x14ac:dyDescent="0.35">
      <c r="Q140" s="9"/>
    </row>
    <row r="141" spans="17:21" ht="20.149999999999999" customHeight="1" x14ac:dyDescent="0.35">
      <c r="Q141" s="9"/>
    </row>
    <row r="142" spans="17:21" ht="20.149999999999999" customHeight="1" x14ac:dyDescent="0.35">
      <c r="Q142" s="9"/>
    </row>
    <row r="143" spans="17:21" ht="20.149999999999999" customHeight="1" x14ac:dyDescent="0.35">
      <c r="Q143" s="9"/>
    </row>
    <row r="144" spans="17:21" ht="20.149999999999999" customHeight="1" x14ac:dyDescent="0.35">
      <c r="Q144" s="9"/>
    </row>
    <row r="145" spans="17:17" ht="20.149999999999999" customHeight="1" x14ac:dyDescent="0.35">
      <c r="Q145" s="9"/>
    </row>
    <row r="146" spans="17:17" ht="20.149999999999999" customHeight="1" x14ac:dyDescent="0.35">
      <c r="Q146" s="9"/>
    </row>
    <row r="147" spans="17:17" ht="20.149999999999999" customHeight="1" x14ac:dyDescent="0.35">
      <c r="Q147" s="9"/>
    </row>
    <row r="148" spans="17:17" ht="20.149999999999999" customHeight="1" x14ac:dyDescent="0.35">
      <c r="Q148" s="9"/>
    </row>
    <row r="149" spans="17:17" ht="20.149999999999999" customHeight="1" x14ac:dyDescent="0.35">
      <c r="Q149" s="9"/>
    </row>
    <row r="150" spans="17:17" ht="20.149999999999999" customHeight="1" x14ac:dyDescent="0.35">
      <c r="Q150" s="9"/>
    </row>
    <row r="151" spans="17:17" ht="20.149999999999999" customHeight="1" x14ac:dyDescent="0.35">
      <c r="Q151" s="9"/>
    </row>
    <row r="152" spans="17:17" ht="20.149999999999999" customHeight="1" x14ac:dyDescent="0.35">
      <c r="Q152" s="9"/>
    </row>
    <row r="153" spans="17:17" ht="20.149999999999999" customHeight="1" x14ac:dyDescent="0.35">
      <c r="Q153" s="9"/>
    </row>
    <row r="154" spans="17:17" ht="20.149999999999999" customHeight="1" x14ac:dyDescent="0.35">
      <c r="Q154" s="9"/>
    </row>
    <row r="155" spans="17:17" ht="20.149999999999999" customHeight="1" x14ac:dyDescent="0.35">
      <c r="Q155" s="9"/>
    </row>
    <row r="156" spans="17:17" ht="20.149999999999999" customHeight="1" x14ac:dyDescent="0.35">
      <c r="Q156" s="9"/>
    </row>
    <row r="157" spans="17:17" ht="20.149999999999999" customHeight="1" x14ac:dyDescent="0.35">
      <c r="Q157" s="9"/>
    </row>
    <row r="158" spans="17:17" ht="20.149999999999999" customHeight="1" x14ac:dyDescent="0.35">
      <c r="Q158" s="9"/>
    </row>
    <row r="159" spans="17:17" ht="20.149999999999999" customHeight="1" x14ac:dyDescent="0.35">
      <c r="Q159" s="9"/>
    </row>
    <row r="160" spans="17:17" ht="20.149999999999999" customHeight="1" x14ac:dyDescent="0.35">
      <c r="Q160" s="9"/>
    </row>
    <row r="161" spans="17:17" ht="20.149999999999999" customHeight="1" x14ac:dyDescent="0.35">
      <c r="Q161" s="9"/>
    </row>
    <row r="162" spans="17:17" ht="20.149999999999999" customHeight="1" x14ac:dyDescent="0.35">
      <c r="Q162" s="9"/>
    </row>
    <row r="163" spans="17:17" ht="20.149999999999999" customHeight="1" x14ac:dyDescent="0.35">
      <c r="Q163" s="9"/>
    </row>
    <row r="164" spans="17:17" ht="20.149999999999999" customHeight="1" x14ac:dyDescent="0.35">
      <c r="Q164" s="9"/>
    </row>
    <row r="165" spans="17:17" ht="20.149999999999999" customHeight="1" x14ac:dyDescent="0.35">
      <c r="Q165" s="9"/>
    </row>
    <row r="166" spans="17:17" ht="20.149999999999999" customHeight="1" x14ac:dyDescent="0.35">
      <c r="Q166" s="9"/>
    </row>
    <row r="167" spans="17:17" ht="20.149999999999999" customHeight="1" x14ac:dyDescent="0.35">
      <c r="Q167" s="9"/>
    </row>
    <row r="168" spans="17:17" ht="20.149999999999999" customHeight="1" x14ac:dyDescent="0.35">
      <c r="Q168" s="9"/>
    </row>
    <row r="169" spans="17:17" ht="20.149999999999999" customHeight="1" x14ac:dyDescent="0.35">
      <c r="Q169" s="9"/>
    </row>
    <row r="170" spans="17:17" ht="20.149999999999999" customHeight="1" x14ac:dyDescent="0.35">
      <c r="Q170" s="9"/>
    </row>
    <row r="171" spans="17:17" ht="20.149999999999999" customHeight="1" x14ac:dyDescent="0.35">
      <c r="Q171" s="9"/>
    </row>
    <row r="172" spans="17:17" ht="20.149999999999999" customHeight="1" x14ac:dyDescent="0.35">
      <c r="Q172" s="9"/>
    </row>
    <row r="173" spans="17:17" ht="20.149999999999999" customHeight="1" x14ac:dyDescent="0.35">
      <c r="Q173" s="9"/>
    </row>
    <row r="174" spans="17:17" ht="20.149999999999999" customHeight="1" x14ac:dyDescent="0.35">
      <c r="Q174" s="9"/>
    </row>
    <row r="175" spans="17:17" ht="20.149999999999999" customHeight="1" x14ac:dyDescent="0.35">
      <c r="Q175" s="9"/>
    </row>
    <row r="176" spans="17:17" ht="20.149999999999999" customHeight="1" x14ac:dyDescent="0.35">
      <c r="Q176" s="9"/>
    </row>
    <row r="177" spans="17:17" ht="20.149999999999999" customHeight="1" x14ac:dyDescent="0.35">
      <c r="Q177" s="9"/>
    </row>
    <row r="178" spans="17:17" ht="20.149999999999999" customHeight="1" x14ac:dyDescent="0.35">
      <c r="Q178" s="9"/>
    </row>
    <row r="179" spans="17:17" ht="20.149999999999999" customHeight="1" x14ac:dyDescent="0.35">
      <c r="Q179" s="9"/>
    </row>
    <row r="180" spans="17:17" ht="20.149999999999999" customHeight="1" x14ac:dyDescent="0.35">
      <c r="Q180" s="9"/>
    </row>
    <row r="181" spans="17:17" ht="20.149999999999999" customHeight="1" x14ac:dyDescent="0.35">
      <c r="Q181" s="9"/>
    </row>
    <row r="182" spans="17:17" ht="20.149999999999999" customHeight="1" x14ac:dyDescent="0.35">
      <c r="Q182" s="9"/>
    </row>
    <row r="183" spans="17:17" ht="20.149999999999999" customHeight="1" x14ac:dyDescent="0.35">
      <c r="Q183" s="9"/>
    </row>
    <row r="184" spans="17:17" ht="20.149999999999999" customHeight="1" x14ac:dyDescent="0.35">
      <c r="Q184" s="9"/>
    </row>
    <row r="185" spans="17:17" ht="20.149999999999999" customHeight="1" x14ac:dyDescent="0.35">
      <c r="Q185" s="9"/>
    </row>
    <row r="186" spans="17:17" ht="20.149999999999999" customHeight="1" x14ac:dyDescent="0.35">
      <c r="Q186" s="9"/>
    </row>
    <row r="187" spans="17:17" ht="20.149999999999999" customHeight="1" x14ac:dyDescent="0.35">
      <c r="Q187" s="9"/>
    </row>
    <row r="188" spans="17:17" ht="20.149999999999999" customHeight="1" x14ac:dyDescent="0.35">
      <c r="Q188" s="9"/>
    </row>
    <row r="189" spans="17:17" ht="20.149999999999999" customHeight="1" x14ac:dyDescent="0.35">
      <c r="Q189" s="9"/>
    </row>
    <row r="190" spans="17:17" ht="20.149999999999999" customHeight="1" x14ac:dyDescent="0.35">
      <c r="Q190" s="9"/>
    </row>
    <row r="191" spans="17:17" ht="20.149999999999999" customHeight="1" x14ac:dyDescent="0.35">
      <c r="Q191" s="9"/>
    </row>
    <row r="192" spans="17:17" ht="20.149999999999999" customHeight="1" x14ac:dyDescent="0.35">
      <c r="Q192" s="9"/>
    </row>
    <row r="193" spans="17:17" ht="20.149999999999999" customHeight="1" x14ac:dyDescent="0.35">
      <c r="Q193" s="9"/>
    </row>
    <row r="194" spans="17:17" ht="20.149999999999999" customHeight="1" x14ac:dyDescent="0.35">
      <c r="Q194" s="9"/>
    </row>
    <row r="195" spans="17:17" ht="20.149999999999999" customHeight="1" x14ac:dyDescent="0.35">
      <c r="Q195" s="9"/>
    </row>
    <row r="196" spans="17:17" ht="20.149999999999999" customHeight="1" x14ac:dyDescent="0.35">
      <c r="Q196" s="9"/>
    </row>
    <row r="197" spans="17:17" ht="20.149999999999999" customHeight="1" x14ac:dyDescent="0.35">
      <c r="Q197" s="9"/>
    </row>
    <row r="198" spans="17:17" ht="20.149999999999999" customHeight="1" x14ac:dyDescent="0.35">
      <c r="Q198" s="9"/>
    </row>
    <row r="199" spans="17:17" ht="20.149999999999999" customHeight="1" x14ac:dyDescent="0.35">
      <c r="Q199" s="9"/>
    </row>
    <row r="200" spans="17:17" ht="20.149999999999999" customHeight="1" x14ac:dyDescent="0.35">
      <c r="Q200" s="9"/>
    </row>
    <row r="201" spans="17:17" ht="20.149999999999999" customHeight="1" x14ac:dyDescent="0.35">
      <c r="Q201" s="9"/>
    </row>
    <row r="202" spans="17:17" ht="20.149999999999999" customHeight="1" x14ac:dyDescent="0.35">
      <c r="Q202" s="9"/>
    </row>
    <row r="203" spans="17:17" ht="20.149999999999999" customHeight="1" x14ac:dyDescent="0.35">
      <c r="Q203" s="9"/>
    </row>
    <row r="204" spans="17:17" ht="20.149999999999999" customHeight="1" x14ac:dyDescent="0.35">
      <c r="Q204" s="9"/>
    </row>
    <row r="205" spans="17:17" ht="20.149999999999999" customHeight="1" x14ac:dyDescent="0.35">
      <c r="Q205" s="9"/>
    </row>
    <row r="206" spans="17:17" ht="20.149999999999999" customHeight="1" x14ac:dyDescent="0.35">
      <c r="Q206" s="9"/>
    </row>
    <row r="207" spans="17:17" ht="20.149999999999999" customHeight="1" x14ac:dyDescent="0.35">
      <c r="Q207" s="9"/>
    </row>
    <row r="208" spans="17:17" ht="20.149999999999999" customHeight="1" x14ac:dyDescent="0.35">
      <c r="Q208" s="9"/>
    </row>
    <row r="209" spans="17:17" ht="20.149999999999999" customHeight="1" x14ac:dyDescent="0.35">
      <c r="Q209" s="9"/>
    </row>
    <row r="210" spans="17:17" ht="20.149999999999999" customHeight="1" x14ac:dyDescent="0.35">
      <c r="Q210" s="9"/>
    </row>
    <row r="211" spans="17:17" ht="20.149999999999999" customHeight="1" x14ac:dyDescent="0.35">
      <c r="Q211" s="9"/>
    </row>
    <row r="212" spans="17:17" ht="20.149999999999999" customHeight="1" x14ac:dyDescent="0.35">
      <c r="Q212" s="9"/>
    </row>
    <row r="213" spans="17:17" ht="20.149999999999999" customHeight="1" x14ac:dyDescent="0.35">
      <c r="Q213" s="9"/>
    </row>
    <row r="214" spans="17:17" ht="20.149999999999999" customHeight="1" x14ac:dyDescent="0.35">
      <c r="Q214" s="9"/>
    </row>
    <row r="215" spans="17:17" ht="20.149999999999999" customHeight="1" x14ac:dyDescent="0.35">
      <c r="Q215" s="9"/>
    </row>
    <row r="216" spans="17:17" ht="20.149999999999999" customHeight="1" x14ac:dyDescent="0.35">
      <c r="Q216" s="9"/>
    </row>
    <row r="217" spans="17:17" ht="20.149999999999999" customHeight="1" x14ac:dyDescent="0.35">
      <c r="Q217" s="9"/>
    </row>
    <row r="218" spans="17:17" ht="20.149999999999999" customHeight="1" x14ac:dyDescent="0.35">
      <c r="Q218" s="9"/>
    </row>
    <row r="219" spans="17:17" ht="20.149999999999999" customHeight="1" x14ac:dyDescent="0.35">
      <c r="Q219" s="9"/>
    </row>
    <row r="220" spans="17:17" ht="20.149999999999999" customHeight="1" x14ac:dyDescent="0.35">
      <c r="Q220" s="9"/>
    </row>
    <row r="221" spans="17:17" ht="20.149999999999999" customHeight="1" x14ac:dyDescent="0.35">
      <c r="Q221" s="9"/>
    </row>
    <row r="222" spans="17:17" ht="20.149999999999999" customHeight="1" x14ac:dyDescent="0.35">
      <c r="Q222" s="9"/>
    </row>
    <row r="223" spans="17:17" ht="20.149999999999999" customHeight="1" x14ac:dyDescent="0.35">
      <c r="Q223" s="9"/>
    </row>
    <row r="224" spans="17:17" ht="20.149999999999999" customHeight="1" x14ac:dyDescent="0.35">
      <c r="Q224" s="9"/>
    </row>
    <row r="225" spans="17:17" ht="20.149999999999999" customHeight="1" x14ac:dyDescent="0.35">
      <c r="Q225" s="9"/>
    </row>
    <row r="226" spans="17:17" ht="20.149999999999999" customHeight="1" x14ac:dyDescent="0.35">
      <c r="Q226" s="9"/>
    </row>
    <row r="227" spans="17:17" ht="20.149999999999999" customHeight="1" x14ac:dyDescent="0.35">
      <c r="Q227" s="9"/>
    </row>
    <row r="228" spans="17:17" ht="20.149999999999999" customHeight="1" x14ac:dyDescent="0.35">
      <c r="Q228" s="9"/>
    </row>
    <row r="229" spans="17:17" ht="20.149999999999999" customHeight="1" x14ac:dyDescent="0.35">
      <c r="Q229" s="9"/>
    </row>
    <row r="230" spans="17:17" ht="20.149999999999999" customHeight="1" x14ac:dyDescent="0.35">
      <c r="Q230" s="9"/>
    </row>
    <row r="231" spans="17:17" ht="20.149999999999999" customHeight="1" x14ac:dyDescent="0.35">
      <c r="Q231" s="9"/>
    </row>
    <row r="232" spans="17:17" ht="20.149999999999999" customHeight="1" x14ac:dyDescent="0.35">
      <c r="Q232" s="9"/>
    </row>
    <row r="233" spans="17:17" ht="20.149999999999999" customHeight="1" x14ac:dyDescent="0.35">
      <c r="Q233" s="9"/>
    </row>
    <row r="234" spans="17:17" ht="20.149999999999999" customHeight="1" x14ac:dyDescent="0.35">
      <c r="Q234" s="9"/>
    </row>
    <row r="235" spans="17:17" ht="20.149999999999999" customHeight="1" x14ac:dyDescent="0.35">
      <c r="Q235" s="9"/>
    </row>
    <row r="236" spans="17:17" ht="20.149999999999999" customHeight="1" x14ac:dyDescent="0.35">
      <c r="Q236" s="9"/>
    </row>
    <row r="237" spans="17:17" ht="20.149999999999999" customHeight="1" x14ac:dyDescent="0.35">
      <c r="Q237" s="9"/>
    </row>
    <row r="238" spans="17:17" ht="20.149999999999999" customHeight="1" x14ac:dyDescent="0.35">
      <c r="Q238" s="9"/>
    </row>
    <row r="239" spans="17:17" ht="20.149999999999999" customHeight="1" x14ac:dyDescent="0.35">
      <c r="Q239" s="9"/>
    </row>
    <row r="240" spans="17:17" ht="20.149999999999999" customHeight="1" x14ac:dyDescent="0.35">
      <c r="Q240" s="9"/>
    </row>
    <row r="241" spans="17:17" ht="20.149999999999999" customHeight="1" x14ac:dyDescent="0.35">
      <c r="Q241" s="9"/>
    </row>
    <row r="242" spans="17:17" ht="20.149999999999999" customHeight="1" x14ac:dyDescent="0.35">
      <c r="Q242" s="9"/>
    </row>
    <row r="243" spans="17:17" ht="20.149999999999999" customHeight="1" x14ac:dyDescent="0.35">
      <c r="Q243" s="9"/>
    </row>
    <row r="244" spans="17:17" ht="20.149999999999999" customHeight="1" x14ac:dyDescent="0.35">
      <c r="Q244" s="9"/>
    </row>
    <row r="245" spans="17:17" ht="20.149999999999999" customHeight="1" x14ac:dyDescent="0.35">
      <c r="Q245" s="9"/>
    </row>
    <row r="246" spans="17:17" ht="20.149999999999999" customHeight="1" x14ac:dyDescent="0.35">
      <c r="Q246" s="9"/>
    </row>
    <row r="247" spans="17:17" ht="20.149999999999999" customHeight="1" x14ac:dyDescent="0.35">
      <c r="Q247" s="9"/>
    </row>
    <row r="248" spans="17:17" ht="20.149999999999999" customHeight="1" x14ac:dyDescent="0.35">
      <c r="Q248" s="9"/>
    </row>
    <row r="249" spans="17:17" ht="20.149999999999999" customHeight="1" x14ac:dyDescent="0.35">
      <c r="Q249" s="9"/>
    </row>
    <row r="250" spans="17:17" ht="20.149999999999999" customHeight="1" x14ac:dyDescent="0.35">
      <c r="Q250" s="9"/>
    </row>
    <row r="251" spans="17:17" ht="20.149999999999999" customHeight="1" x14ac:dyDescent="0.35">
      <c r="Q251" s="9"/>
    </row>
    <row r="252" spans="17:17" ht="20.149999999999999" customHeight="1" x14ac:dyDescent="0.35">
      <c r="Q252" s="9"/>
    </row>
    <row r="253" spans="17:17" ht="20.149999999999999" customHeight="1" x14ac:dyDescent="0.35"/>
    <row r="254" spans="17:17" ht="20.149999999999999" customHeight="1" x14ac:dyDescent="0.35"/>
    <row r="255" spans="17:17" ht="20.149999999999999" customHeight="1" x14ac:dyDescent="0.35"/>
    <row r="256" spans="17:17" ht="20.149999999999999" customHeight="1" x14ac:dyDescent="0.35"/>
    <row r="257" ht="20.149999999999999" customHeight="1" x14ac:dyDescent="0.35"/>
    <row r="258" ht="20.149999999999999" customHeight="1" x14ac:dyDescent="0.35"/>
    <row r="259" ht="20.149999999999999" customHeight="1" x14ac:dyDescent="0.35"/>
    <row r="260" ht="20.149999999999999" customHeight="1" x14ac:dyDescent="0.35"/>
    <row r="261" ht="20.149999999999999" customHeight="1" x14ac:dyDescent="0.35"/>
    <row r="262" ht="20.149999999999999" customHeight="1" x14ac:dyDescent="0.35"/>
    <row r="263" ht="20.149999999999999" customHeight="1" x14ac:dyDescent="0.35"/>
    <row r="264" ht="20.149999999999999" customHeight="1" x14ac:dyDescent="0.35"/>
    <row r="265" ht="20.149999999999999" customHeight="1" x14ac:dyDescent="0.35"/>
    <row r="266" ht="20.149999999999999" customHeight="1" x14ac:dyDescent="0.35"/>
    <row r="267" ht="20.149999999999999" customHeight="1" x14ac:dyDescent="0.35"/>
    <row r="268" ht="20.149999999999999" customHeight="1" x14ac:dyDescent="0.35"/>
    <row r="269" ht="20.149999999999999" customHeight="1" x14ac:dyDescent="0.35"/>
    <row r="270" ht="20.149999999999999" customHeight="1" x14ac:dyDescent="0.35"/>
    <row r="271" ht="20.149999999999999" customHeight="1" x14ac:dyDescent="0.35"/>
    <row r="272" ht="20.149999999999999" customHeight="1" x14ac:dyDescent="0.35"/>
    <row r="273" ht="20.149999999999999" customHeight="1" x14ac:dyDescent="0.35"/>
    <row r="274" ht="20.149999999999999" customHeight="1" x14ac:dyDescent="0.35"/>
    <row r="275" ht="20.149999999999999" customHeight="1" x14ac:dyDescent="0.35"/>
    <row r="276" ht="20.149999999999999" customHeight="1" x14ac:dyDescent="0.35"/>
    <row r="277" ht="20.149999999999999" customHeight="1" x14ac:dyDescent="0.35"/>
    <row r="278" ht="20.149999999999999" customHeight="1" x14ac:dyDescent="0.35"/>
    <row r="279" ht="20.149999999999999" customHeight="1" x14ac:dyDescent="0.35"/>
    <row r="280" ht="20.149999999999999" customHeight="1" x14ac:dyDescent="0.35"/>
    <row r="281" ht="20.149999999999999" customHeight="1" x14ac:dyDescent="0.35"/>
    <row r="282" ht="20.149999999999999" customHeight="1" x14ac:dyDescent="0.35"/>
    <row r="283" ht="20.149999999999999" customHeight="1" x14ac:dyDescent="0.35"/>
    <row r="284" ht="20.149999999999999" customHeight="1" x14ac:dyDescent="0.35"/>
    <row r="285" ht="20.149999999999999" customHeight="1" x14ac:dyDescent="0.35"/>
    <row r="286" ht="20.149999999999999" customHeight="1" x14ac:dyDescent="0.35"/>
    <row r="287" ht="20.149999999999999" customHeight="1" x14ac:dyDescent="0.35"/>
    <row r="288" ht="20.149999999999999" customHeight="1" x14ac:dyDescent="0.35"/>
    <row r="289" ht="20.149999999999999" customHeight="1" x14ac:dyDescent="0.35"/>
    <row r="290" ht="20.149999999999999" customHeight="1" x14ac:dyDescent="0.35"/>
    <row r="291" ht="20.149999999999999" customHeight="1" x14ac:dyDescent="0.35"/>
    <row r="292" ht="20.149999999999999" customHeight="1" x14ac:dyDescent="0.35"/>
    <row r="293" ht="20.149999999999999" customHeight="1" x14ac:dyDescent="0.35"/>
    <row r="294" ht="20.149999999999999" customHeight="1" x14ac:dyDescent="0.35"/>
    <row r="295" ht="20.149999999999999" customHeight="1" x14ac:dyDescent="0.35"/>
    <row r="296" ht="20.149999999999999" customHeight="1" x14ac:dyDescent="0.35"/>
    <row r="297" ht="20.149999999999999" customHeight="1" x14ac:dyDescent="0.35"/>
    <row r="298" ht="20.149999999999999" customHeight="1" x14ac:dyDescent="0.35"/>
    <row r="299" ht="20.149999999999999" customHeight="1" x14ac:dyDescent="0.35"/>
    <row r="300" ht="20.149999999999999" customHeight="1" x14ac:dyDescent="0.35"/>
    <row r="301" ht="20.149999999999999" customHeight="1" x14ac:dyDescent="0.35"/>
    <row r="302" ht="20.149999999999999" customHeight="1" x14ac:dyDescent="0.35"/>
    <row r="303" ht="20.149999999999999" customHeight="1" x14ac:dyDescent="0.35"/>
    <row r="304" ht="20.149999999999999" customHeight="1" x14ac:dyDescent="0.35"/>
    <row r="305" ht="20.149999999999999" customHeight="1" x14ac:dyDescent="0.35"/>
    <row r="306" ht="20.149999999999999" customHeight="1" x14ac:dyDescent="0.35"/>
    <row r="307" ht="20.149999999999999" customHeight="1" x14ac:dyDescent="0.35"/>
    <row r="308" ht="20.149999999999999" customHeight="1" x14ac:dyDescent="0.35"/>
    <row r="309" ht="20.149999999999999" customHeight="1" x14ac:dyDescent="0.35"/>
    <row r="310" ht="20.149999999999999" customHeight="1" x14ac:dyDescent="0.35"/>
    <row r="311" ht="20.149999999999999" customHeight="1" x14ac:dyDescent="0.35"/>
    <row r="312" ht="20.149999999999999" customHeight="1" x14ac:dyDescent="0.35"/>
    <row r="313" ht="20.149999999999999" customHeight="1" x14ac:dyDescent="0.35"/>
    <row r="314" ht="20.149999999999999" customHeight="1" x14ac:dyDescent="0.35"/>
    <row r="315" ht="20.149999999999999" customHeight="1" x14ac:dyDescent="0.35"/>
    <row r="316" ht="20.149999999999999" customHeight="1" x14ac:dyDescent="0.35"/>
    <row r="317" ht="20.149999999999999" customHeight="1" x14ac:dyDescent="0.35"/>
    <row r="318" ht="20.149999999999999" customHeight="1" x14ac:dyDescent="0.35"/>
    <row r="319" ht="20.149999999999999" customHeight="1" x14ac:dyDescent="0.35"/>
    <row r="320" ht="20.149999999999999" customHeight="1" x14ac:dyDescent="0.35"/>
    <row r="321" ht="20.149999999999999" customHeight="1" x14ac:dyDescent="0.35"/>
    <row r="322" ht="20.149999999999999" customHeight="1" x14ac:dyDescent="0.35"/>
    <row r="323" ht="20.149999999999999" customHeight="1" x14ac:dyDescent="0.35"/>
    <row r="324" ht="20.149999999999999" customHeight="1" x14ac:dyDescent="0.35"/>
    <row r="325" ht="20.149999999999999" customHeight="1" x14ac:dyDescent="0.35"/>
    <row r="326" ht="20.149999999999999" customHeight="1" x14ac:dyDescent="0.35"/>
    <row r="327" ht="20.149999999999999" customHeight="1" x14ac:dyDescent="0.35"/>
    <row r="328" ht="20.149999999999999" customHeight="1" x14ac:dyDescent="0.35"/>
    <row r="329" ht="20.149999999999999" customHeight="1" x14ac:dyDescent="0.35"/>
    <row r="330" ht="20.149999999999999" customHeight="1" x14ac:dyDescent="0.35"/>
    <row r="331" ht="20.149999999999999" customHeight="1" x14ac:dyDescent="0.35"/>
    <row r="332" ht="20.149999999999999" customHeight="1" x14ac:dyDescent="0.35"/>
    <row r="333" ht="20.149999999999999" customHeight="1" x14ac:dyDescent="0.35"/>
    <row r="334" ht="20.149999999999999" customHeight="1" x14ac:dyDescent="0.35"/>
    <row r="335" ht="20.149999999999999" customHeight="1" x14ac:dyDescent="0.35"/>
    <row r="336" ht="20.149999999999999" customHeight="1" x14ac:dyDescent="0.35"/>
    <row r="337" ht="20.149999999999999" customHeight="1" x14ac:dyDescent="0.35"/>
    <row r="338" ht="20.149999999999999" customHeight="1" x14ac:dyDescent="0.35"/>
    <row r="339" ht="20.149999999999999" customHeight="1" x14ac:dyDescent="0.35"/>
    <row r="340" ht="20.149999999999999" customHeight="1" x14ac:dyDescent="0.35"/>
    <row r="341" ht="20.149999999999999" customHeight="1" x14ac:dyDescent="0.35"/>
    <row r="342" ht="20.149999999999999" customHeight="1" x14ac:dyDescent="0.35"/>
    <row r="343" ht="20.149999999999999" customHeight="1" x14ac:dyDescent="0.35"/>
    <row r="344" ht="20.149999999999999" customHeight="1" x14ac:dyDescent="0.35"/>
    <row r="345" ht="20.149999999999999" customHeight="1" x14ac:dyDescent="0.35"/>
    <row r="346" ht="20.149999999999999" customHeight="1" x14ac:dyDescent="0.35"/>
    <row r="347" ht="20.149999999999999" customHeight="1" x14ac:dyDescent="0.35"/>
    <row r="348" ht="20.149999999999999" customHeight="1" x14ac:dyDescent="0.35"/>
    <row r="349" ht="20.149999999999999" customHeight="1" x14ac:dyDescent="0.35"/>
    <row r="350" ht="20.149999999999999" customHeight="1" x14ac:dyDescent="0.35"/>
    <row r="351" ht="20.149999999999999" customHeight="1" x14ac:dyDescent="0.35"/>
    <row r="352" ht="20.149999999999999" customHeight="1" x14ac:dyDescent="0.35"/>
    <row r="353" ht="20.149999999999999" customHeight="1" x14ac:dyDescent="0.35"/>
    <row r="354" ht="20.149999999999999" customHeight="1" x14ac:dyDescent="0.35"/>
    <row r="355" ht="20.149999999999999" customHeight="1" x14ac:dyDescent="0.35"/>
    <row r="356" ht="20.149999999999999" customHeight="1" x14ac:dyDescent="0.35"/>
    <row r="357" ht="20.149999999999999" customHeight="1" x14ac:dyDescent="0.35"/>
    <row r="358" ht="20.149999999999999" customHeight="1" x14ac:dyDescent="0.35"/>
    <row r="359" ht="20.149999999999999" customHeight="1" x14ac:dyDescent="0.35"/>
    <row r="360" ht="20.149999999999999" customHeight="1" x14ac:dyDescent="0.35"/>
    <row r="361" ht="20.149999999999999" customHeight="1" x14ac:dyDescent="0.35"/>
    <row r="362" ht="20.149999999999999" customHeight="1" x14ac:dyDescent="0.35"/>
    <row r="363" ht="20.149999999999999" customHeight="1" x14ac:dyDescent="0.35"/>
    <row r="364" ht="20.149999999999999" customHeight="1" x14ac:dyDescent="0.35"/>
    <row r="365" ht="20.149999999999999" customHeight="1" x14ac:dyDescent="0.35"/>
    <row r="366" ht="20.149999999999999" customHeight="1" x14ac:dyDescent="0.35"/>
    <row r="367" ht="20.149999999999999" customHeight="1" x14ac:dyDescent="0.35"/>
    <row r="368" ht="20.149999999999999" customHeight="1" x14ac:dyDescent="0.35"/>
    <row r="369" ht="20.149999999999999" customHeight="1" x14ac:dyDescent="0.35"/>
    <row r="370" ht="20.149999999999999" customHeight="1" x14ac:dyDescent="0.35"/>
    <row r="371" ht="20.149999999999999" customHeight="1" x14ac:dyDescent="0.35"/>
    <row r="372" ht="20.149999999999999" customHeight="1" x14ac:dyDescent="0.35"/>
    <row r="373" ht="20.149999999999999" customHeight="1" x14ac:dyDescent="0.35"/>
    <row r="374" ht="20.149999999999999" customHeight="1" x14ac:dyDescent="0.35"/>
    <row r="375" ht="20.149999999999999" customHeight="1" x14ac:dyDescent="0.35"/>
    <row r="376" ht="20.149999999999999" customHeight="1" x14ac:dyDescent="0.35"/>
    <row r="377" ht="20.149999999999999" customHeight="1" x14ac:dyDescent="0.35"/>
    <row r="378" ht="20.149999999999999" customHeight="1" x14ac:dyDescent="0.35"/>
    <row r="379" ht="20.149999999999999" customHeight="1" x14ac:dyDescent="0.35"/>
    <row r="380" ht="20.149999999999999" customHeight="1" x14ac:dyDescent="0.35"/>
    <row r="381" ht="20.149999999999999" customHeight="1" x14ac:dyDescent="0.35"/>
    <row r="382" ht="20.149999999999999" customHeight="1" x14ac:dyDescent="0.35"/>
    <row r="383" ht="20.149999999999999" customHeight="1" x14ac:dyDescent="0.35"/>
    <row r="384" ht="20.149999999999999" customHeight="1" x14ac:dyDescent="0.35"/>
    <row r="385" ht="20.149999999999999" customHeight="1" x14ac:dyDescent="0.35"/>
    <row r="386" ht="20.149999999999999" customHeight="1" x14ac:dyDescent="0.35"/>
    <row r="387" ht="20.149999999999999" customHeight="1" x14ac:dyDescent="0.35"/>
    <row r="388" ht="20.149999999999999" customHeight="1" x14ac:dyDescent="0.35"/>
    <row r="389" ht="20.149999999999999" customHeight="1" x14ac:dyDescent="0.35"/>
    <row r="390" ht="20.149999999999999" customHeight="1" x14ac:dyDescent="0.35"/>
    <row r="391" ht="20.149999999999999" customHeight="1" x14ac:dyDescent="0.35"/>
    <row r="392" ht="20.149999999999999" customHeight="1" x14ac:dyDescent="0.35"/>
    <row r="393" ht="20.149999999999999" customHeight="1" x14ac:dyDescent="0.35"/>
    <row r="394" ht="20.149999999999999" customHeight="1" x14ac:dyDescent="0.35"/>
    <row r="395" ht="20.149999999999999" customHeight="1" x14ac:dyDescent="0.35"/>
    <row r="396" ht="20.149999999999999" customHeight="1" x14ac:dyDescent="0.35"/>
    <row r="397" ht="20.149999999999999" customHeight="1" x14ac:dyDescent="0.35"/>
    <row r="398" ht="20.149999999999999" customHeight="1" x14ac:dyDescent="0.35"/>
    <row r="399" ht="20.149999999999999" customHeight="1" x14ac:dyDescent="0.35"/>
    <row r="400" ht="20.149999999999999" customHeight="1" x14ac:dyDescent="0.35"/>
    <row r="401" ht="20.149999999999999" customHeight="1" x14ac:dyDescent="0.35"/>
    <row r="402" ht="20.149999999999999" customHeight="1" x14ac:dyDescent="0.35"/>
    <row r="403" ht="20.149999999999999" customHeight="1" x14ac:dyDescent="0.35"/>
    <row r="404" ht="20.149999999999999" customHeight="1" x14ac:dyDescent="0.35"/>
    <row r="405" ht="20.149999999999999" customHeight="1" x14ac:dyDescent="0.35"/>
    <row r="406" ht="20.149999999999999" customHeight="1" x14ac:dyDescent="0.35"/>
    <row r="407" ht="20.149999999999999" customHeight="1" x14ac:dyDescent="0.35"/>
    <row r="408" ht="20.149999999999999" customHeight="1" x14ac:dyDescent="0.35"/>
    <row r="409" ht="20.149999999999999" customHeight="1" x14ac:dyDescent="0.35"/>
    <row r="410" ht="20.149999999999999" customHeight="1" x14ac:dyDescent="0.35"/>
    <row r="411" ht="20.149999999999999" customHeight="1" x14ac:dyDescent="0.35"/>
    <row r="412" ht="20.149999999999999" customHeight="1" x14ac:dyDescent="0.35"/>
    <row r="413" ht="20.149999999999999" customHeight="1" x14ac:dyDescent="0.35"/>
    <row r="414" ht="20.149999999999999" customHeight="1" x14ac:dyDescent="0.35"/>
    <row r="415" ht="20.149999999999999" customHeight="1" x14ac:dyDescent="0.35"/>
    <row r="416" ht="20.149999999999999" customHeight="1" x14ac:dyDescent="0.35"/>
    <row r="417" ht="20.149999999999999" customHeight="1" x14ac:dyDescent="0.35"/>
    <row r="418" ht="20.149999999999999" customHeight="1" x14ac:dyDescent="0.35"/>
    <row r="419" ht="20.149999999999999" customHeight="1" x14ac:dyDescent="0.35"/>
    <row r="420" ht="20.149999999999999" customHeight="1" x14ac:dyDescent="0.35"/>
    <row r="421" ht="20.149999999999999" customHeight="1" x14ac:dyDescent="0.35"/>
    <row r="422" ht="20.149999999999999" customHeight="1" x14ac:dyDescent="0.35"/>
    <row r="423" ht="20.149999999999999" customHeight="1" x14ac:dyDescent="0.35"/>
    <row r="424" ht="20.149999999999999" customHeight="1" x14ac:dyDescent="0.35"/>
    <row r="425" ht="20.149999999999999" customHeight="1" x14ac:dyDescent="0.35"/>
    <row r="426" ht="20.149999999999999" customHeight="1" x14ac:dyDescent="0.35"/>
    <row r="427" ht="20.149999999999999" customHeight="1" x14ac:dyDescent="0.35"/>
    <row r="428" ht="20.149999999999999" customHeight="1" x14ac:dyDescent="0.35"/>
    <row r="429" ht="20.149999999999999" customHeight="1" x14ac:dyDescent="0.35"/>
    <row r="430" ht="20.149999999999999" customHeight="1" x14ac:dyDescent="0.35"/>
    <row r="431" ht="20.149999999999999" customHeight="1" x14ac:dyDescent="0.35"/>
    <row r="432" ht="20.149999999999999" customHeight="1" x14ac:dyDescent="0.35"/>
    <row r="433" ht="20.149999999999999" customHeight="1" x14ac:dyDescent="0.35"/>
    <row r="434" ht="20.149999999999999" customHeight="1" x14ac:dyDescent="0.35"/>
    <row r="435" ht="20.149999999999999" customHeight="1" x14ac:dyDescent="0.35"/>
    <row r="436" ht="20.149999999999999" customHeight="1" x14ac:dyDescent="0.35"/>
    <row r="437" ht="20.149999999999999" customHeight="1" x14ac:dyDescent="0.35"/>
    <row r="438" ht="20.149999999999999" customHeight="1" x14ac:dyDescent="0.35"/>
    <row r="439" ht="20.149999999999999" customHeight="1" x14ac:dyDescent="0.35"/>
    <row r="440" ht="20.149999999999999" customHeight="1" x14ac:dyDescent="0.35"/>
    <row r="441" ht="20.149999999999999" customHeight="1" x14ac:dyDescent="0.35"/>
    <row r="442" ht="20.149999999999999" customHeight="1" x14ac:dyDescent="0.35"/>
    <row r="443" ht="20.149999999999999" customHeight="1" x14ac:dyDescent="0.35"/>
    <row r="444" ht="20.149999999999999" customHeight="1" x14ac:dyDescent="0.35"/>
    <row r="445" ht="20.149999999999999" customHeight="1" x14ac:dyDescent="0.35"/>
    <row r="446" ht="20.149999999999999" customHeight="1" x14ac:dyDescent="0.35"/>
    <row r="447" ht="20.149999999999999" customHeight="1" x14ac:dyDescent="0.35"/>
    <row r="448" ht="20.149999999999999" customHeight="1" x14ac:dyDescent="0.35"/>
    <row r="449" ht="20.149999999999999" customHeight="1" x14ac:dyDescent="0.35"/>
    <row r="450" ht="20.149999999999999" customHeight="1" x14ac:dyDescent="0.35"/>
    <row r="451" ht="20.149999999999999" customHeight="1" x14ac:dyDescent="0.35"/>
    <row r="452" ht="20.149999999999999" customHeight="1" x14ac:dyDescent="0.35"/>
    <row r="453" ht="20.149999999999999" customHeight="1" x14ac:dyDescent="0.35"/>
    <row r="454" ht="20.149999999999999" customHeight="1" x14ac:dyDescent="0.35"/>
    <row r="455" ht="20.149999999999999" customHeight="1" x14ac:dyDescent="0.35"/>
    <row r="456" ht="20.149999999999999" customHeight="1" x14ac:dyDescent="0.35"/>
    <row r="457" ht="20.149999999999999" customHeight="1" x14ac:dyDescent="0.35"/>
    <row r="458" ht="20.149999999999999" customHeight="1" x14ac:dyDescent="0.35"/>
    <row r="459" ht="20.149999999999999" customHeight="1" x14ac:dyDescent="0.35"/>
    <row r="460" ht="20.149999999999999" customHeight="1" x14ac:dyDescent="0.35"/>
    <row r="461" ht="20.149999999999999" customHeight="1" x14ac:dyDescent="0.35"/>
    <row r="462" ht="20.149999999999999" customHeight="1" x14ac:dyDescent="0.35"/>
    <row r="463" ht="20.149999999999999" customHeight="1" x14ac:dyDescent="0.35"/>
    <row r="464" ht="20.149999999999999" customHeight="1" x14ac:dyDescent="0.35"/>
    <row r="465" ht="20.149999999999999" customHeight="1" x14ac:dyDescent="0.35"/>
    <row r="466" ht="20.149999999999999" customHeight="1" x14ac:dyDescent="0.35"/>
    <row r="467" ht="20.149999999999999" customHeight="1" x14ac:dyDescent="0.35"/>
    <row r="468" ht="20.149999999999999" customHeight="1" x14ac:dyDescent="0.35"/>
    <row r="469" ht="20.149999999999999" customHeight="1" x14ac:dyDescent="0.35"/>
    <row r="470" ht="20.149999999999999" customHeight="1" x14ac:dyDescent="0.35"/>
    <row r="471" ht="20.149999999999999" customHeight="1" x14ac:dyDescent="0.35"/>
    <row r="472" ht="20.149999999999999" customHeight="1" x14ac:dyDescent="0.35"/>
    <row r="473" ht="20.149999999999999" customHeight="1" x14ac:dyDescent="0.35"/>
    <row r="474" ht="20.149999999999999" customHeight="1" x14ac:dyDescent="0.35"/>
    <row r="475" ht="20.149999999999999" customHeight="1" x14ac:dyDescent="0.35"/>
    <row r="476" ht="20.149999999999999" customHeight="1" x14ac:dyDescent="0.35"/>
    <row r="477" ht="20.149999999999999" customHeight="1" x14ac:dyDescent="0.35"/>
    <row r="478" ht="20.149999999999999" customHeight="1" x14ac:dyDescent="0.35"/>
    <row r="479" ht="20.149999999999999" customHeight="1" x14ac:dyDescent="0.35"/>
    <row r="480" ht="20.149999999999999" customHeight="1" x14ac:dyDescent="0.35"/>
    <row r="481" ht="20.149999999999999" customHeight="1" x14ac:dyDescent="0.35"/>
    <row r="482" ht="20.149999999999999" customHeight="1" x14ac:dyDescent="0.35"/>
    <row r="483" ht="20.149999999999999" customHeight="1" x14ac:dyDescent="0.35"/>
    <row r="484" ht="20.149999999999999" customHeight="1" x14ac:dyDescent="0.35"/>
    <row r="485" ht="20.149999999999999" customHeight="1" x14ac:dyDescent="0.35"/>
    <row r="486" ht="20.149999999999999" customHeight="1" x14ac:dyDescent="0.35"/>
    <row r="487" ht="20.149999999999999" customHeight="1" x14ac:dyDescent="0.35"/>
    <row r="488" ht="20.149999999999999" customHeight="1" x14ac:dyDescent="0.35"/>
    <row r="489" ht="20.149999999999999" customHeight="1" x14ac:dyDescent="0.35"/>
    <row r="490" ht="20.149999999999999" customHeight="1" x14ac:dyDescent="0.35"/>
    <row r="491" ht="20.149999999999999" customHeight="1" x14ac:dyDescent="0.35"/>
    <row r="492" ht="20.149999999999999" customHeight="1" x14ac:dyDescent="0.35"/>
    <row r="493" ht="20.149999999999999" customHeight="1" x14ac:dyDescent="0.35"/>
    <row r="494" ht="20.149999999999999" customHeight="1" x14ac:dyDescent="0.35"/>
    <row r="495" ht="20.149999999999999" customHeight="1" x14ac:dyDescent="0.35"/>
    <row r="496" ht="20.149999999999999" customHeight="1" x14ac:dyDescent="0.35"/>
    <row r="497" ht="20.149999999999999" customHeight="1" x14ac:dyDescent="0.35"/>
    <row r="498" ht="20.149999999999999" customHeight="1" x14ac:dyDescent="0.35"/>
    <row r="499" ht="20.149999999999999" customHeight="1" x14ac:dyDescent="0.35"/>
    <row r="500" ht="20.149999999999999" customHeight="1" x14ac:dyDescent="0.35"/>
    <row r="501" ht="20.149999999999999" customHeight="1" x14ac:dyDescent="0.35"/>
    <row r="502" ht="20.149999999999999" customHeight="1" x14ac:dyDescent="0.35"/>
    <row r="503" ht="20.149999999999999" customHeight="1" x14ac:dyDescent="0.35"/>
    <row r="504" ht="20.149999999999999" customHeight="1" x14ac:dyDescent="0.35"/>
    <row r="505" ht="20.149999999999999" customHeight="1" x14ac:dyDescent="0.35"/>
    <row r="506" ht="20.149999999999999" customHeight="1" x14ac:dyDescent="0.35"/>
    <row r="507" ht="20.149999999999999" customHeight="1" x14ac:dyDescent="0.35"/>
    <row r="508" ht="20.149999999999999" customHeight="1" x14ac:dyDescent="0.35"/>
    <row r="509" ht="20.149999999999999" customHeight="1" x14ac:dyDescent="0.35"/>
    <row r="510" ht="20.149999999999999" customHeight="1" x14ac:dyDescent="0.35"/>
    <row r="511" ht="20.149999999999999" customHeight="1" x14ac:dyDescent="0.35"/>
    <row r="512" ht="20.149999999999999" customHeight="1" x14ac:dyDescent="0.35"/>
    <row r="513" ht="20.149999999999999" customHeight="1" x14ac:dyDescent="0.35"/>
    <row r="514" ht="20.149999999999999" customHeight="1" x14ac:dyDescent="0.35"/>
    <row r="515" ht="20.149999999999999" customHeight="1" x14ac:dyDescent="0.35"/>
    <row r="516" ht="20.149999999999999" customHeight="1" x14ac:dyDescent="0.35"/>
    <row r="517" ht="20.149999999999999" customHeight="1" x14ac:dyDescent="0.35"/>
    <row r="518" ht="20.149999999999999" customHeight="1" x14ac:dyDescent="0.35"/>
    <row r="519" ht="20.149999999999999" customHeight="1" x14ac:dyDescent="0.35"/>
    <row r="520" ht="20.149999999999999" customHeight="1" x14ac:dyDescent="0.35"/>
    <row r="521" ht="20.149999999999999" customHeight="1" x14ac:dyDescent="0.35"/>
    <row r="522" ht="20.149999999999999" customHeight="1" x14ac:dyDescent="0.35"/>
    <row r="523" ht="20.149999999999999" customHeight="1" x14ac:dyDescent="0.35"/>
    <row r="524" ht="20.149999999999999" customHeight="1" x14ac:dyDescent="0.35"/>
    <row r="525" ht="20.149999999999999" customHeight="1" x14ac:dyDescent="0.35"/>
    <row r="526" ht="20.149999999999999" customHeight="1" x14ac:dyDescent="0.35"/>
    <row r="527" ht="20.149999999999999" customHeight="1" x14ac:dyDescent="0.35"/>
    <row r="528" ht="20.149999999999999" customHeight="1" x14ac:dyDescent="0.35"/>
    <row r="529" ht="20.149999999999999" customHeight="1" x14ac:dyDescent="0.35"/>
    <row r="530" ht="20.149999999999999" customHeight="1" x14ac:dyDescent="0.35"/>
    <row r="531" ht="20.149999999999999" customHeight="1" x14ac:dyDescent="0.35"/>
    <row r="532" ht="20.149999999999999" customHeight="1" x14ac:dyDescent="0.35"/>
    <row r="533" ht="20.149999999999999" customHeight="1" x14ac:dyDescent="0.35"/>
    <row r="534" ht="20.149999999999999" customHeight="1" x14ac:dyDescent="0.35"/>
    <row r="535" ht="20.149999999999999" customHeight="1" x14ac:dyDescent="0.35"/>
    <row r="536" ht="20.149999999999999" customHeight="1" x14ac:dyDescent="0.35"/>
    <row r="537" ht="20.149999999999999" customHeight="1" x14ac:dyDescent="0.35"/>
    <row r="538" ht="20.149999999999999" customHeight="1" x14ac:dyDescent="0.35"/>
    <row r="539" ht="20.149999999999999" customHeight="1" x14ac:dyDescent="0.35"/>
    <row r="540" ht="20.149999999999999" customHeight="1" x14ac:dyDescent="0.35"/>
    <row r="541" ht="20.149999999999999" customHeight="1" x14ac:dyDescent="0.35"/>
    <row r="542" ht="20.149999999999999" customHeight="1" x14ac:dyDescent="0.35"/>
    <row r="543" ht="20.149999999999999" customHeight="1" x14ac:dyDescent="0.35"/>
    <row r="544" ht="20.149999999999999" customHeight="1" x14ac:dyDescent="0.35"/>
    <row r="545" ht="20.149999999999999" customHeight="1" x14ac:dyDescent="0.35"/>
    <row r="546" ht="20.149999999999999" customHeight="1" x14ac:dyDescent="0.35"/>
    <row r="547" ht="20.149999999999999" customHeight="1" x14ac:dyDescent="0.35"/>
    <row r="548" ht="20.149999999999999" customHeight="1" x14ac:dyDescent="0.35"/>
    <row r="549" ht="20.149999999999999" customHeight="1" x14ac:dyDescent="0.35"/>
    <row r="550" ht="20.149999999999999" customHeight="1" x14ac:dyDescent="0.35"/>
    <row r="551" ht="20.149999999999999" customHeight="1" x14ac:dyDescent="0.35"/>
    <row r="552" ht="20.149999999999999" customHeight="1" x14ac:dyDescent="0.35"/>
    <row r="553" ht="20.149999999999999" customHeight="1" x14ac:dyDescent="0.35"/>
    <row r="554" ht="20.149999999999999" customHeight="1" x14ac:dyDescent="0.35"/>
    <row r="555" ht="20.149999999999999" customHeight="1" x14ac:dyDescent="0.35"/>
    <row r="556" ht="20.149999999999999" customHeight="1" x14ac:dyDescent="0.35"/>
    <row r="557" ht="20.149999999999999" customHeight="1" x14ac:dyDescent="0.35"/>
    <row r="558" ht="20.149999999999999" customHeight="1" x14ac:dyDescent="0.35"/>
    <row r="559" ht="20.149999999999999" customHeight="1" x14ac:dyDescent="0.35"/>
    <row r="560" ht="20.149999999999999" customHeight="1" x14ac:dyDescent="0.35"/>
    <row r="561" ht="20.149999999999999" customHeight="1" x14ac:dyDescent="0.35"/>
    <row r="562" ht="20.149999999999999" customHeight="1" x14ac:dyDescent="0.35"/>
    <row r="563" ht="20.149999999999999" customHeight="1" x14ac:dyDescent="0.35"/>
    <row r="564" ht="20.149999999999999" customHeight="1" x14ac:dyDescent="0.35"/>
    <row r="565" ht="20.149999999999999" customHeight="1" x14ac:dyDescent="0.35"/>
    <row r="566" ht="20.149999999999999" customHeight="1" x14ac:dyDescent="0.35"/>
    <row r="567" ht="20.149999999999999" customHeight="1" x14ac:dyDescent="0.35"/>
    <row r="568" ht="20.149999999999999" customHeight="1" x14ac:dyDescent="0.35"/>
    <row r="569" ht="20.149999999999999" customHeight="1" x14ac:dyDescent="0.35"/>
    <row r="570" ht="20.149999999999999" customHeight="1" x14ac:dyDescent="0.35"/>
    <row r="571" ht="20.149999999999999" customHeight="1" x14ac:dyDescent="0.35"/>
    <row r="572" ht="20.149999999999999" customHeight="1" x14ac:dyDescent="0.35"/>
    <row r="573" ht="20.149999999999999" customHeight="1" x14ac:dyDescent="0.35"/>
    <row r="574" ht="20.149999999999999" customHeight="1" x14ac:dyDescent="0.35"/>
    <row r="575" ht="20.149999999999999" customHeight="1" x14ac:dyDescent="0.35"/>
    <row r="576" ht="20.149999999999999" customHeight="1" x14ac:dyDescent="0.35"/>
    <row r="577" ht="20.149999999999999" customHeight="1" x14ac:dyDescent="0.35"/>
    <row r="578" ht="20.149999999999999" customHeight="1" x14ac:dyDescent="0.35"/>
    <row r="579" ht="20.149999999999999" customHeight="1" x14ac:dyDescent="0.35"/>
    <row r="580" ht="20.149999999999999" customHeight="1" x14ac:dyDescent="0.35"/>
    <row r="581" ht="20.149999999999999" customHeight="1" x14ac:dyDescent="0.35"/>
    <row r="582" ht="20.149999999999999" customHeight="1" x14ac:dyDescent="0.35"/>
    <row r="583" ht="20.149999999999999" customHeight="1" x14ac:dyDescent="0.35"/>
    <row r="584" ht="20.149999999999999" customHeight="1" x14ac:dyDescent="0.35"/>
    <row r="585" ht="20.149999999999999" customHeight="1" x14ac:dyDescent="0.35"/>
    <row r="586" ht="20.149999999999999" customHeight="1" x14ac:dyDescent="0.35"/>
    <row r="587" ht="20.149999999999999" customHeight="1" x14ac:dyDescent="0.35"/>
    <row r="588" ht="20.149999999999999" customHeight="1" x14ac:dyDescent="0.35"/>
    <row r="589" ht="20.149999999999999" customHeight="1" x14ac:dyDescent="0.35"/>
    <row r="590" ht="20.149999999999999" customHeight="1" x14ac:dyDescent="0.35"/>
    <row r="591" ht="20.149999999999999" customHeight="1" x14ac:dyDescent="0.35"/>
    <row r="592" ht="20.149999999999999" customHeight="1" x14ac:dyDescent="0.35"/>
    <row r="593" ht="20.149999999999999" customHeight="1" x14ac:dyDescent="0.35"/>
    <row r="594" ht="20.149999999999999" customHeight="1" x14ac:dyDescent="0.35"/>
    <row r="595" ht="20.149999999999999" customHeight="1" x14ac:dyDescent="0.35"/>
    <row r="596" ht="20.149999999999999" customHeight="1" x14ac:dyDescent="0.35"/>
    <row r="597" ht="20.149999999999999" customHeight="1" x14ac:dyDescent="0.35"/>
    <row r="598" ht="20.149999999999999" customHeight="1" x14ac:dyDescent="0.35"/>
    <row r="599" ht="20.149999999999999" customHeight="1" x14ac:dyDescent="0.35"/>
    <row r="600" ht="20.149999999999999" customHeight="1" x14ac:dyDescent="0.35"/>
    <row r="601" ht="20.149999999999999" customHeight="1" x14ac:dyDescent="0.35"/>
    <row r="602" ht="20.149999999999999" customHeight="1" x14ac:dyDescent="0.35"/>
    <row r="603" ht="20.149999999999999" customHeight="1" x14ac:dyDescent="0.35"/>
    <row r="604" ht="20.149999999999999" customHeight="1" x14ac:dyDescent="0.35"/>
    <row r="605" ht="20.149999999999999" customHeight="1" x14ac:dyDescent="0.35"/>
    <row r="606" ht="20.149999999999999" customHeight="1" x14ac:dyDescent="0.35"/>
    <row r="607" ht="20.149999999999999" customHeight="1" x14ac:dyDescent="0.35"/>
    <row r="608" ht="20.149999999999999" customHeight="1" x14ac:dyDescent="0.35"/>
    <row r="609" ht="20.149999999999999" customHeight="1" x14ac:dyDescent="0.35"/>
    <row r="610" ht="20.149999999999999" customHeight="1" x14ac:dyDescent="0.35"/>
    <row r="611" ht="20.149999999999999" customHeight="1" x14ac:dyDescent="0.35"/>
    <row r="612" ht="20.149999999999999" customHeight="1" x14ac:dyDescent="0.35"/>
    <row r="613" ht="20.149999999999999" customHeight="1" x14ac:dyDescent="0.35"/>
    <row r="614" ht="20.149999999999999" customHeight="1" x14ac:dyDescent="0.35"/>
    <row r="615" ht="20.149999999999999" customHeight="1" x14ac:dyDescent="0.35"/>
    <row r="616" ht="20.149999999999999" customHeight="1" x14ac:dyDescent="0.35"/>
    <row r="617" ht="20.149999999999999" customHeight="1" x14ac:dyDescent="0.35"/>
    <row r="618" ht="20.149999999999999" customHeight="1" x14ac:dyDescent="0.35"/>
    <row r="619" ht="20.149999999999999" customHeight="1" x14ac:dyDescent="0.35"/>
    <row r="620" ht="20.149999999999999" customHeight="1" x14ac:dyDescent="0.35"/>
    <row r="621" ht="20.149999999999999" customHeight="1" x14ac:dyDescent="0.35"/>
    <row r="622" ht="20.149999999999999" customHeight="1" x14ac:dyDescent="0.35"/>
    <row r="623" ht="20.149999999999999" customHeight="1" x14ac:dyDescent="0.35"/>
    <row r="624" ht="20.149999999999999" customHeight="1" x14ac:dyDescent="0.35"/>
    <row r="625" ht="20.149999999999999" customHeight="1" x14ac:dyDescent="0.35"/>
    <row r="626" ht="20.149999999999999" customHeight="1" x14ac:dyDescent="0.35"/>
    <row r="627" ht="20.149999999999999" customHeight="1" x14ac:dyDescent="0.35"/>
    <row r="628" ht="20.149999999999999" customHeight="1" x14ac:dyDescent="0.35"/>
    <row r="629" ht="20.149999999999999" customHeight="1" x14ac:dyDescent="0.35"/>
    <row r="630" ht="20.149999999999999" customHeight="1" x14ac:dyDescent="0.35"/>
    <row r="631" ht="20.149999999999999" customHeight="1" x14ac:dyDescent="0.35"/>
    <row r="632" ht="20.149999999999999" customHeight="1" x14ac:dyDescent="0.35"/>
    <row r="633" ht="20.149999999999999" customHeight="1" x14ac:dyDescent="0.35"/>
    <row r="634" ht="20.149999999999999" customHeight="1" x14ac:dyDescent="0.35"/>
    <row r="635" ht="20.149999999999999" customHeight="1" x14ac:dyDescent="0.35"/>
    <row r="636" ht="20.149999999999999" customHeight="1" x14ac:dyDescent="0.35"/>
    <row r="637" ht="20.149999999999999" customHeight="1" x14ac:dyDescent="0.35"/>
    <row r="638" ht="20.149999999999999" customHeight="1" x14ac:dyDescent="0.35"/>
    <row r="639" ht="20.149999999999999" customHeight="1" x14ac:dyDescent="0.35"/>
    <row r="640" ht="20.149999999999999" customHeight="1" x14ac:dyDescent="0.35"/>
    <row r="641" ht="20.149999999999999" customHeight="1" x14ac:dyDescent="0.35"/>
    <row r="642" ht="20.149999999999999" customHeight="1" x14ac:dyDescent="0.35"/>
    <row r="643" ht="20.149999999999999" customHeight="1" x14ac:dyDescent="0.35"/>
    <row r="644" ht="20.149999999999999" customHeight="1" x14ac:dyDescent="0.35"/>
    <row r="645" ht="20.149999999999999" customHeight="1" x14ac:dyDescent="0.35"/>
    <row r="646" ht="20.149999999999999" customHeight="1" x14ac:dyDescent="0.35"/>
    <row r="647" ht="20.149999999999999" customHeight="1" x14ac:dyDescent="0.35"/>
    <row r="648" ht="20.149999999999999" customHeight="1" x14ac:dyDescent="0.35"/>
    <row r="649" ht="20.149999999999999" customHeight="1" x14ac:dyDescent="0.35"/>
    <row r="650" ht="20.149999999999999" customHeight="1" x14ac:dyDescent="0.35"/>
    <row r="651" ht="20.149999999999999" customHeight="1" x14ac:dyDescent="0.35"/>
    <row r="652" ht="20.149999999999999" customHeight="1" x14ac:dyDescent="0.35"/>
    <row r="653" ht="20.149999999999999" customHeight="1" x14ac:dyDescent="0.35"/>
    <row r="654" ht="20.149999999999999" customHeight="1" x14ac:dyDescent="0.35"/>
    <row r="655" ht="20.149999999999999" customHeight="1" x14ac:dyDescent="0.35"/>
    <row r="656" ht="20.149999999999999" customHeight="1" x14ac:dyDescent="0.35"/>
    <row r="657" ht="20.149999999999999" customHeight="1" x14ac:dyDescent="0.35"/>
    <row r="658" ht="20.149999999999999" customHeight="1" x14ac:dyDescent="0.35"/>
    <row r="659" ht="20.149999999999999" customHeight="1" x14ac:dyDescent="0.35"/>
    <row r="660" ht="20.149999999999999" customHeight="1" x14ac:dyDescent="0.35"/>
    <row r="661" ht="20.149999999999999" customHeight="1" x14ac:dyDescent="0.35"/>
    <row r="662" ht="20.149999999999999" customHeight="1" x14ac:dyDescent="0.35"/>
    <row r="663" ht="20.149999999999999" customHeight="1" x14ac:dyDescent="0.35"/>
    <row r="664" ht="20.149999999999999" customHeight="1" x14ac:dyDescent="0.35"/>
    <row r="665" ht="20.149999999999999" customHeight="1" x14ac:dyDescent="0.35"/>
    <row r="666" ht="20.149999999999999" customHeight="1" x14ac:dyDescent="0.35"/>
    <row r="667" ht="20.149999999999999" customHeight="1" x14ac:dyDescent="0.35"/>
    <row r="668" ht="20.149999999999999" customHeight="1" x14ac:dyDescent="0.35"/>
    <row r="669" ht="20.149999999999999" customHeight="1" x14ac:dyDescent="0.35"/>
    <row r="670" ht="20.149999999999999" customHeight="1" x14ac:dyDescent="0.35"/>
    <row r="671" ht="20.149999999999999" customHeight="1" x14ac:dyDescent="0.35"/>
    <row r="672" ht="20.149999999999999" customHeight="1" x14ac:dyDescent="0.35"/>
    <row r="673" ht="20.149999999999999" customHeight="1" x14ac:dyDescent="0.35"/>
    <row r="674" ht="20.149999999999999" customHeight="1" x14ac:dyDescent="0.35"/>
    <row r="675" ht="20.149999999999999" customHeight="1" x14ac:dyDescent="0.35"/>
    <row r="676" ht="20.149999999999999" customHeight="1" x14ac:dyDescent="0.35"/>
    <row r="677" ht="20.149999999999999" customHeight="1" x14ac:dyDescent="0.35"/>
    <row r="678" ht="20.149999999999999" customHeight="1" x14ac:dyDescent="0.35"/>
    <row r="679" ht="20.149999999999999" customHeight="1" x14ac:dyDescent="0.35"/>
    <row r="680" ht="20.149999999999999" customHeight="1" x14ac:dyDescent="0.35"/>
    <row r="681" ht="20.149999999999999" customHeight="1" x14ac:dyDescent="0.35"/>
    <row r="682" ht="20.149999999999999" customHeight="1" x14ac:dyDescent="0.35"/>
    <row r="683" ht="20.149999999999999" customHeight="1" x14ac:dyDescent="0.35"/>
    <row r="684" ht="20.149999999999999" customHeight="1" x14ac:dyDescent="0.35"/>
    <row r="685" ht="20.149999999999999" customHeight="1" x14ac:dyDescent="0.35"/>
    <row r="686" ht="20.149999999999999" customHeight="1" x14ac:dyDescent="0.35"/>
    <row r="687" ht="20.149999999999999" customHeight="1" x14ac:dyDescent="0.35"/>
    <row r="688" ht="20.149999999999999" customHeight="1" x14ac:dyDescent="0.35"/>
    <row r="689" ht="20.149999999999999" customHeight="1" x14ac:dyDescent="0.35"/>
    <row r="690" ht="20.149999999999999" customHeight="1" x14ac:dyDescent="0.35"/>
    <row r="691" ht="20.149999999999999" customHeight="1" x14ac:dyDescent="0.35"/>
    <row r="692" ht="20.149999999999999" customHeight="1" x14ac:dyDescent="0.35"/>
    <row r="693" ht="20.149999999999999" customHeight="1" x14ac:dyDescent="0.35"/>
    <row r="694" ht="20.149999999999999" customHeight="1" x14ac:dyDescent="0.35"/>
    <row r="695" ht="20.149999999999999" customHeight="1" x14ac:dyDescent="0.35"/>
    <row r="696" ht="20.149999999999999" customHeight="1" x14ac:dyDescent="0.35"/>
    <row r="697" ht="20.149999999999999" customHeight="1" x14ac:dyDescent="0.35"/>
    <row r="698" ht="20.149999999999999" customHeight="1" x14ac:dyDescent="0.35"/>
    <row r="699" ht="20.149999999999999" customHeight="1" x14ac:dyDescent="0.35"/>
    <row r="700" ht="20.149999999999999" customHeight="1" x14ac:dyDescent="0.35"/>
    <row r="701" ht="20.149999999999999" customHeight="1" x14ac:dyDescent="0.35"/>
    <row r="702" ht="20.149999999999999" customHeight="1" x14ac:dyDescent="0.35"/>
    <row r="703" ht="20.149999999999999" customHeight="1" x14ac:dyDescent="0.35"/>
    <row r="704" ht="20.149999999999999" customHeight="1" x14ac:dyDescent="0.35"/>
    <row r="705" ht="20.149999999999999" customHeight="1" x14ac:dyDescent="0.35"/>
    <row r="706" ht="20.149999999999999" customHeight="1" x14ac:dyDescent="0.35"/>
    <row r="707" ht="20.149999999999999" customHeight="1" x14ac:dyDescent="0.35"/>
    <row r="708" ht="20.149999999999999" customHeight="1" x14ac:dyDescent="0.35"/>
    <row r="709" ht="20.149999999999999" customHeight="1" x14ac:dyDescent="0.35"/>
    <row r="710" ht="20.149999999999999" customHeight="1" x14ac:dyDescent="0.35"/>
    <row r="711" ht="20.149999999999999" customHeight="1" x14ac:dyDescent="0.35"/>
    <row r="712" ht="20.149999999999999" customHeight="1" x14ac:dyDescent="0.35"/>
    <row r="713" ht="20.149999999999999" customHeight="1" x14ac:dyDescent="0.35"/>
    <row r="714" ht="20.149999999999999" customHeight="1" x14ac:dyDescent="0.35"/>
    <row r="715" ht="20.149999999999999" customHeight="1" x14ac:dyDescent="0.35"/>
    <row r="716" ht="20.149999999999999" customHeight="1" x14ac:dyDescent="0.35"/>
    <row r="717" ht="20.149999999999999" customHeight="1" x14ac:dyDescent="0.35"/>
    <row r="718" ht="20.149999999999999" customHeight="1" x14ac:dyDescent="0.35"/>
    <row r="719" ht="20.149999999999999" customHeight="1" x14ac:dyDescent="0.35"/>
    <row r="720" ht="20.149999999999999" customHeight="1" x14ac:dyDescent="0.35"/>
    <row r="721" ht="20.149999999999999" customHeight="1" x14ac:dyDescent="0.35"/>
    <row r="722" ht="20.149999999999999" customHeight="1" x14ac:dyDescent="0.35"/>
    <row r="723" ht="20.149999999999999" customHeight="1" x14ac:dyDescent="0.35"/>
    <row r="724" ht="20.149999999999999" customHeight="1" x14ac:dyDescent="0.35"/>
    <row r="725" ht="20.149999999999999" customHeight="1" x14ac:dyDescent="0.35"/>
    <row r="726" ht="20.149999999999999" customHeight="1" x14ac:dyDescent="0.35"/>
    <row r="727" ht="20.149999999999999" customHeight="1" x14ac:dyDescent="0.35"/>
    <row r="728" ht="20.149999999999999" customHeight="1" x14ac:dyDescent="0.35"/>
    <row r="729" ht="20.149999999999999" customHeight="1" x14ac:dyDescent="0.35"/>
    <row r="730" ht="20.149999999999999" customHeight="1" x14ac:dyDescent="0.35"/>
    <row r="731" ht="20.149999999999999" customHeight="1" x14ac:dyDescent="0.35"/>
    <row r="732" ht="20.149999999999999" customHeight="1" x14ac:dyDescent="0.35"/>
    <row r="733" ht="20.149999999999999" customHeight="1" x14ac:dyDescent="0.35"/>
    <row r="734" ht="20.149999999999999" customHeight="1" x14ac:dyDescent="0.35"/>
    <row r="735" ht="20.149999999999999" customHeight="1" x14ac:dyDescent="0.35"/>
    <row r="736" ht="20.149999999999999" customHeight="1" x14ac:dyDescent="0.35"/>
    <row r="737" ht="20.149999999999999" customHeight="1" x14ac:dyDescent="0.35"/>
    <row r="738" ht="20.149999999999999" customHeight="1" x14ac:dyDescent="0.35"/>
    <row r="739" ht="20.149999999999999" customHeight="1" x14ac:dyDescent="0.35"/>
    <row r="740" ht="20.149999999999999" customHeight="1" x14ac:dyDescent="0.35"/>
    <row r="741" ht="20.149999999999999" customHeight="1" x14ac:dyDescent="0.35"/>
    <row r="742" ht="20.149999999999999" customHeight="1" x14ac:dyDescent="0.35"/>
    <row r="743" ht="20.149999999999999" customHeight="1" x14ac:dyDescent="0.35"/>
    <row r="744" ht="20.149999999999999" customHeight="1" x14ac:dyDescent="0.35"/>
    <row r="745" ht="20.149999999999999" customHeight="1" x14ac:dyDescent="0.35"/>
    <row r="746" ht="20.149999999999999" customHeight="1" x14ac:dyDescent="0.35"/>
    <row r="747" ht="20.149999999999999" customHeight="1" x14ac:dyDescent="0.35"/>
    <row r="748" ht="20.149999999999999" customHeight="1" x14ac:dyDescent="0.35"/>
    <row r="749" ht="20.149999999999999" customHeight="1" x14ac:dyDescent="0.35"/>
    <row r="750" ht="20.149999999999999" customHeight="1" x14ac:dyDescent="0.35"/>
    <row r="751" ht="20.149999999999999" customHeight="1" x14ac:dyDescent="0.35"/>
    <row r="752" ht="20.149999999999999" customHeight="1" x14ac:dyDescent="0.35"/>
    <row r="753" ht="20.149999999999999" customHeight="1" x14ac:dyDescent="0.35"/>
    <row r="754" ht="20.149999999999999" customHeight="1" x14ac:dyDescent="0.35"/>
    <row r="755" ht="20.149999999999999" customHeight="1" x14ac:dyDescent="0.35"/>
    <row r="756" ht="20.149999999999999" customHeight="1" x14ac:dyDescent="0.35"/>
    <row r="757" ht="20.149999999999999" customHeight="1" x14ac:dyDescent="0.35"/>
    <row r="758" ht="20.149999999999999" customHeight="1" x14ac:dyDescent="0.35"/>
    <row r="759" ht="20.149999999999999" customHeight="1" x14ac:dyDescent="0.35"/>
    <row r="760" ht="20.149999999999999" customHeight="1" x14ac:dyDescent="0.35"/>
    <row r="761" ht="20.149999999999999" customHeight="1" x14ac:dyDescent="0.35"/>
    <row r="762" ht="20.149999999999999" customHeight="1" x14ac:dyDescent="0.35"/>
    <row r="763" ht="20.149999999999999" customHeight="1" x14ac:dyDescent="0.35"/>
    <row r="764" ht="20.149999999999999" customHeight="1" x14ac:dyDescent="0.35"/>
    <row r="765" ht="20.149999999999999" customHeight="1" x14ac:dyDescent="0.35"/>
    <row r="766" ht="20.149999999999999" customHeight="1" x14ac:dyDescent="0.35"/>
    <row r="767" ht="20.149999999999999" customHeight="1" x14ac:dyDescent="0.35"/>
    <row r="768" ht="20.149999999999999" customHeight="1" x14ac:dyDescent="0.35"/>
    <row r="769" ht="20.149999999999999" customHeight="1" x14ac:dyDescent="0.35"/>
    <row r="770" ht="20.149999999999999" customHeight="1" x14ac:dyDescent="0.35"/>
    <row r="771" ht="20.149999999999999" customHeight="1" x14ac:dyDescent="0.35"/>
    <row r="772" ht="20.149999999999999" customHeight="1" x14ac:dyDescent="0.35"/>
    <row r="773" ht="20.149999999999999" customHeight="1" x14ac:dyDescent="0.35"/>
    <row r="774" ht="20.149999999999999" customHeight="1" x14ac:dyDescent="0.35"/>
    <row r="775" ht="20.149999999999999" customHeight="1" x14ac:dyDescent="0.35"/>
    <row r="776" ht="20.149999999999999" customHeight="1" x14ac:dyDescent="0.35"/>
    <row r="777" ht="20.149999999999999" customHeight="1" x14ac:dyDescent="0.35"/>
    <row r="778" ht="20.149999999999999" customHeight="1" x14ac:dyDescent="0.35"/>
    <row r="779" ht="20.149999999999999" customHeight="1" x14ac:dyDescent="0.35"/>
    <row r="780" ht="20.149999999999999" customHeight="1" x14ac:dyDescent="0.35"/>
    <row r="781" ht="20.149999999999999" customHeight="1" x14ac:dyDescent="0.35"/>
    <row r="782" ht="20.149999999999999" customHeight="1" x14ac:dyDescent="0.35"/>
    <row r="783" ht="20.149999999999999" customHeight="1" x14ac:dyDescent="0.35"/>
    <row r="784" ht="20.149999999999999" customHeight="1" x14ac:dyDescent="0.35"/>
    <row r="785" ht="20.149999999999999" customHeight="1" x14ac:dyDescent="0.35"/>
    <row r="786" ht="20.149999999999999" customHeight="1" x14ac:dyDescent="0.35"/>
    <row r="787" ht="20.149999999999999" customHeight="1" x14ac:dyDescent="0.35"/>
    <row r="788" ht="20.149999999999999" customHeight="1" x14ac:dyDescent="0.35"/>
    <row r="789" ht="20.149999999999999" customHeight="1" x14ac:dyDescent="0.35"/>
    <row r="790" ht="20.149999999999999" customHeight="1" x14ac:dyDescent="0.35"/>
    <row r="791" ht="20.149999999999999" customHeight="1" x14ac:dyDescent="0.35"/>
    <row r="792" ht="20.149999999999999" customHeight="1" x14ac:dyDescent="0.35"/>
    <row r="793" ht="20.149999999999999" customHeight="1" x14ac:dyDescent="0.35"/>
    <row r="794" ht="20.149999999999999" customHeight="1" x14ac:dyDescent="0.35"/>
    <row r="795" ht="20.149999999999999" customHeight="1" x14ac:dyDescent="0.35"/>
    <row r="796" ht="20.149999999999999" customHeight="1" x14ac:dyDescent="0.35"/>
    <row r="797" ht="20.149999999999999" customHeight="1" x14ac:dyDescent="0.35"/>
    <row r="798" ht="20.149999999999999" customHeight="1" x14ac:dyDescent="0.35"/>
    <row r="799" ht="20.149999999999999" customHeight="1" x14ac:dyDescent="0.35"/>
    <row r="800" ht="20.149999999999999" customHeight="1" x14ac:dyDescent="0.35"/>
    <row r="801" ht="20.149999999999999" customHeight="1" x14ac:dyDescent="0.35"/>
    <row r="802" ht="20.149999999999999" customHeight="1" x14ac:dyDescent="0.35"/>
    <row r="803" ht="20.149999999999999" customHeight="1" x14ac:dyDescent="0.35"/>
    <row r="804" ht="20.149999999999999" customHeight="1" x14ac:dyDescent="0.35"/>
    <row r="805" ht="20.149999999999999" customHeight="1" x14ac:dyDescent="0.35"/>
    <row r="806" ht="20.149999999999999" customHeight="1" x14ac:dyDescent="0.35"/>
    <row r="807" ht="20.149999999999999" customHeight="1" x14ac:dyDescent="0.35"/>
    <row r="808" ht="20.149999999999999" customHeight="1" x14ac:dyDescent="0.35"/>
    <row r="809" ht="20.149999999999999" customHeight="1" x14ac:dyDescent="0.35"/>
    <row r="810" ht="20.149999999999999" customHeight="1" x14ac:dyDescent="0.35"/>
    <row r="811" ht="20.149999999999999" customHeight="1" x14ac:dyDescent="0.35"/>
    <row r="812" ht="20.149999999999999" customHeight="1" x14ac:dyDescent="0.35"/>
    <row r="813" ht="20.149999999999999" customHeight="1" x14ac:dyDescent="0.35"/>
    <row r="814" ht="20.149999999999999" customHeight="1" x14ac:dyDescent="0.35"/>
    <row r="815" ht="20.149999999999999" customHeight="1" x14ac:dyDescent="0.35"/>
    <row r="816" ht="20.149999999999999" customHeight="1" x14ac:dyDescent="0.35"/>
    <row r="817" ht="20.149999999999999" customHeight="1" x14ac:dyDescent="0.35"/>
    <row r="818" ht="20.149999999999999" customHeight="1" x14ac:dyDescent="0.35"/>
    <row r="819" ht="20.149999999999999" customHeight="1" x14ac:dyDescent="0.35"/>
    <row r="820" ht="20.149999999999999" customHeight="1" x14ac:dyDescent="0.35"/>
    <row r="821" ht="20.149999999999999" customHeight="1" x14ac:dyDescent="0.35"/>
    <row r="822" ht="20.149999999999999" customHeight="1" x14ac:dyDescent="0.35"/>
    <row r="823" ht="20.149999999999999" customHeight="1" x14ac:dyDescent="0.35"/>
    <row r="824" ht="20.149999999999999" customHeight="1" x14ac:dyDescent="0.35"/>
    <row r="825" ht="20.149999999999999" customHeight="1" x14ac:dyDescent="0.35"/>
    <row r="826" ht="20.149999999999999" customHeight="1" x14ac:dyDescent="0.35"/>
    <row r="827" ht="20.149999999999999" customHeight="1" x14ac:dyDescent="0.35"/>
    <row r="828" ht="20.149999999999999" customHeight="1" x14ac:dyDescent="0.35"/>
    <row r="829" ht="20.149999999999999" customHeight="1" x14ac:dyDescent="0.35"/>
    <row r="830" ht="20.149999999999999" customHeight="1" x14ac:dyDescent="0.35"/>
    <row r="831" ht="20.149999999999999" customHeight="1" x14ac:dyDescent="0.35"/>
    <row r="832" ht="20.149999999999999" customHeight="1" x14ac:dyDescent="0.35"/>
    <row r="833" ht="20.149999999999999" customHeight="1" x14ac:dyDescent="0.35"/>
    <row r="834" ht="20.149999999999999" customHeight="1" x14ac:dyDescent="0.35"/>
    <row r="835" ht="20.149999999999999" customHeight="1" x14ac:dyDescent="0.35"/>
    <row r="836" ht="20.149999999999999" customHeight="1" x14ac:dyDescent="0.35"/>
    <row r="837" ht="20.149999999999999" customHeight="1" x14ac:dyDescent="0.35"/>
    <row r="838" ht="20.149999999999999" customHeight="1" x14ac:dyDescent="0.35"/>
    <row r="839" ht="20.149999999999999" customHeight="1" x14ac:dyDescent="0.35"/>
    <row r="840" ht="20.149999999999999" customHeight="1" x14ac:dyDescent="0.35"/>
    <row r="841" ht="20.149999999999999" customHeight="1" x14ac:dyDescent="0.35"/>
    <row r="842" ht="20.149999999999999" customHeight="1" x14ac:dyDescent="0.35"/>
    <row r="843" ht="20.149999999999999" customHeight="1" x14ac:dyDescent="0.35"/>
    <row r="844" ht="20.149999999999999" customHeight="1" x14ac:dyDescent="0.35"/>
    <row r="845" ht="20.149999999999999" customHeight="1" x14ac:dyDescent="0.35"/>
    <row r="846" ht="20.149999999999999" customHeight="1" x14ac:dyDescent="0.35"/>
    <row r="847" ht="20.149999999999999" customHeight="1" x14ac:dyDescent="0.35"/>
    <row r="848" ht="20.149999999999999" customHeight="1" x14ac:dyDescent="0.35"/>
    <row r="849" ht="20.149999999999999" customHeight="1" x14ac:dyDescent="0.35"/>
    <row r="850" ht="20.149999999999999" customHeight="1" x14ac:dyDescent="0.35"/>
    <row r="851" ht="20.149999999999999" customHeight="1" x14ac:dyDescent="0.35"/>
    <row r="852" ht="20.149999999999999" customHeight="1" x14ac:dyDescent="0.35"/>
    <row r="853" ht="20.149999999999999" customHeight="1" x14ac:dyDescent="0.35"/>
    <row r="854" ht="20.149999999999999" customHeight="1" x14ac:dyDescent="0.35"/>
    <row r="855" ht="20.149999999999999" customHeight="1" x14ac:dyDescent="0.35"/>
    <row r="856" ht="20.149999999999999" customHeight="1" x14ac:dyDescent="0.35"/>
    <row r="857" ht="20.149999999999999" customHeight="1" x14ac:dyDescent="0.35"/>
    <row r="858" ht="20.149999999999999" customHeight="1" x14ac:dyDescent="0.35"/>
    <row r="859" ht="20.149999999999999" customHeight="1" x14ac:dyDescent="0.35"/>
    <row r="860" ht="20.149999999999999" customHeight="1" x14ac:dyDescent="0.35"/>
    <row r="861" ht="20.149999999999999" customHeight="1" x14ac:dyDescent="0.35"/>
    <row r="862" ht="20.149999999999999" customHeight="1" x14ac:dyDescent="0.35"/>
    <row r="863" ht="20.149999999999999" customHeight="1" x14ac:dyDescent="0.35"/>
    <row r="864" ht="20.149999999999999" customHeight="1" x14ac:dyDescent="0.35"/>
    <row r="865" ht="20.149999999999999" customHeight="1" x14ac:dyDescent="0.35"/>
    <row r="866" ht="20.149999999999999" customHeight="1" x14ac:dyDescent="0.35"/>
    <row r="867" ht="20.149999999999999" customHeight="1" x14ac:dyDescent="0.35"/>
    <row r="868" ht="20.149999999999999" customHeight="1" x14ac:dyDescent="0.35"/>
    <row r="869" ht="20.149999999999999" customHeight="1" x14ac:dyDescent="0.35"/>
    <row r="870" ht="20.149999999999999" customHeight="1" x14ac:dyDescent="0.35"/>
    <row r="871" ht="20.149999999999999" customHeight="1" x14ac:dyDescent="0.35"/>
    <row r="872" ht="20.149999999999999" customHeight="1" x14ac:dyDescent="0.35"/>
    <row r="873" ht="20.149999999999999" customHeight="1" x14ac:dyDescent="0.35"/>
    <row r="874" ht="20.149999999999999" customHeight="1" x14ac:dyDescent="0.35"/>
    <row r="875" ht="20.149999999999999" customHeight="1" x14ac:dyDescent="0.35"/>
    <row r="876" ht="20.149999999999999" customHeight="1" x14ac:dyDescent="0.35"/>
    <row r="877" ht="20.149999999999999" customHeight="1" x14ac:dyDescent="0.35"/>
    <row r="878" ht="20.149999999999999" customHeight="1" x14ac:dyDescent="0.35"/>
    <row r="879" ht="20.149999999999999" customHeight="1" x14ac:dyDescent="0.35"/>
    <row r="880" ht="20.149999999999999" customHeight="1" x14ac:dyDescent="0.35"/>
    <row r="881" ht="20.149999999999999" customHeight="1" x14ac:dyDescent="0.35"/>
    <row r="882" ht="20.149999999999999" customHeight="1" x14ac:dyDescent="0.35"/>
    <row r="883" ht="20.149999999999999" customHeight="1" x14ac:dyDescent="0.35"/>
    <row r="884" ht="20.149999999999999" customHeight="1" x14ac:dyDescent="0.35"/>
    <row r="885" ht="20.149999999999999" customHeight="1" x14ac:dyDescent="0.35"/>
    <row r="886" ht="20.149999999999999" customHeight="1" x14ac:dyDescent="0.35"/>
    <row r="887" ht="20.149999999999999" customHeight="1" x14ac:dyDescent="0.35"/>
    <row r="888" ht="20.149999999999999" customHeight="1" x14ac:dyDescent="0.35"/>
    <row r="889" ht="20.149999999999999" customHeight="1" x14ac:dyDescent="0.35"/>
    <row r="890" ht="20.149999999999999" customHeight="1" x14ac:dyDescent="0.35"/>
    <row r="891" ht="20.149999999999999" customHeight="1" x14ac:dyDescent="0.35"/>
    <row r="892" ht="20.149999999999999" customHeight="1" x14ac:dyDescent="0.35"/>
    <row r="893" ht="20.149999999999999" customHeight="1" x14ac:dyDescent="0.35"/>
    <row r="894" ht="20.149999999999999" customHeight="1" x14ac:dyDescent="0.35"/>
    <row r="895" ht="20.149999999999999" customHeight="1" x14ac:dyDescent="0.35"/>
    <row r="896" ht="20.149999999999999" customHeight="1" x14ac:dyDescent="0.35"/>
    <row r="897" ht="20.149999999999999" customHeight="1" x14ac:dyDescent="0.35"/>
    <row r="898" ht="20.149999999999999" customHeight="1" x14ac:dyDescent="0.35"/>
    <row r="899" ht="20.149999999999999" customHeight="1" x14ac:dyDescent="0.35"/>
    <row r="900" ht="20.149999999999999" customHeight="1" x14ac:dyDescent="0.35"/>
    <row r="901" ht="20.149999999999999" customHeight="1" x14ac:dyDescent="0.35"/>
    <row r="902" ht="20.149999999999999" customHeight="1" x14ac:dyDescent="0.35"/>
    <row r="903" ht="20.149999999999999" customHeight="1" x14ac:dyDescent="0.35"/>
    <row r="904" ht="20.149999999999999" customHeight="1" x14ac:dyDescent="0.35"/>
    <row r="905" ht="20.149999999999999" customHeight="1" x14ac:dyDescent="0.35"/>
    <row r="906" ht="20.149999999999999" customHeight="1" x14ac:dyDescent="0.35"/>
    <row r="907" ht="20.149999999999999" customHeight="1" x14ac:dyDescent="0.35"/>
    <row r="908" ht="20.149999999999999" customHeight="1" x14ac:dyDescent="0.35"/>
    <row r="909" ht="20.149999999999999" customHeight="1" x14ac:dyDescent="0.35"/>
    <row r="910" ht="20.149999999999999" customHeight="1" x14ac:dyDescent="0.35"/>
    <row r="911" ht="20.149999999999999" customHeight="1" x14ac:dyDescent="0.35"/>
    <row r="912" ht="20.149999999999999" customHeight="1" x14ac:dyDescent="0.35"/>
    <row r="913" ht="20.149999999999999" customHeight="1" x14ac:dyDescent="0.35"/>
    <row r="914" ht="20.149999999999999" customHeight="1" x14ac:dyDescent="0.35"/>
    <row r="915" ht="20.149999999999999" customHeight="1" x14ac:dyDescent="0.35"/>
    <row r="916" ht="20.149999999999999" customHeight="1" x14ac:dyDescent="0.35"/>
    <row r="917" ht="20.149999999999999" customHeight="1" x14ac:dyDescent="0.35"/>
    <row r="918" ht="20.149999999999999" customHeight="1" x14ac:dyDescent="0.35"/>
    <row r="919" ht="20.149999999999999" customHeight="1" x14ac:dyDescent="0.35"/>
    <row r="920" ht="20.149999999999999" customHeight="1" x14ac:dyDescent="0.35"/>
    <row r="921" ht="20.149999999999999" customHeight="1" x14ac:dyDescent="0.35"/>
    <row r="922" ht="20.149999999999999" customHeight="1" x14ac:dyDescent="0.35"/>
    <row r="923" ht="20.149999999999999" customHeight="1" x14ac:dyDescent="0.35"/>
    <row r="924" ht="20.149999999999999" customHeight="1" x14ac:dyDescent="0.35"/>
    <row r="925" ht="20.149999999999999" customHeight="1" x14ac:dyDescent="0.35"/>
    <row r="926" ht="20.149999999999999" customHeight="1" x14ac:dyDescent="0.35"/>
    <row r="927" ht="20.149999999999999" customHeight="1" x14ac:dyDescent="0.35"/>
    <row r="928" ht="20.149999999999999" customHeight="1" x14ac:dyDescent="0.35"/>
    <row r="929" ht="20.149999999999999" customHeight="1" x14ac:dyDescent="0.35"/>
    <row r="930" ht="20.149999999999999" customHeight="1" x14ac:dyDescent="0.35"/>
    <row r="931" ht="20.149999999999999" customHeight="1" x14ac:dyDescent="0.35"/>
    <row r="932" ht="20.149999999999999" customHeight="1" x14ac:dyDescent="0.35"/>
    <row r="933" ht="20.149999999999999" customHeight="1" x14ac:dyDescent="0.35"/>
    <row r="934" ht="20.149999999999999" customHeight="1" x14ac:dyDescent="0.35"/>
    <row r="935" ht="20.149999999999999" customHeight="1" x14ac:dyDescent="0.35"/>
    <row r="936" ht="20.149999999999999" customHeight="1" x14ac:dyDescent="0.35"/>
    <row r="937" ht="20.149999999999999" customHeight="1" x14ac:dyDescent="0.35"/>
    <row r="938" ht="20.149999999999999" customHeight="1" x14ac:dyDescent="0.35"/>
    <row r="939" ht="20.149999999999999" customHeight="1" x14ac:dyDescent="0.35"/>
    <row r="940" ht="20.149999999999999" customHeight="1" x14ac:dyDescent="0.35"/>
    <row r="941" ht="20.149999999999999" customHeight="1" x14ac:dyDescent="0.35"/>
    <row r="942" ht="20.149999999999999" customHeight="1" x14ac:dyDescent="0.35"/>
    <row r="943" ht="20.149999999999999" customHeight="1" x14ac:dyDescent="0.35"/>
    <row r="944" ht="20.149999999999999" customHeight="1" x14ac:dyDescent="0.35"/>
    <row r="945" ht="20.149999999999999" customHeight="1" x14ac:dyDescent="0.35"/>
    <row r="946" ht="20.149999999999999" customHeight="1" x14ac:dyDescent="0.35"/>
    <row r="947" ht="20.149999999999999" customHeight="1" x14ac:dyDescent="0.35"/>
    <row r="948" ht="20.149999999999999" customHeight="1" x14ac:dyDescent="0.35"/>
    <row r="949" ht="20.149999999999999" customHeight="1" x14ac:dyDescent="0.35"/>
    <row r="950" ht="20.149999999999999" customHeight="1" x14ac:dyDescent="0.35"/>
    <row r="951" ht="20.149999999999999" customHeight="1" x14ac:dyDescent="0.35"/>
    <row r="952" ht="20.149999999999999" customHeight="1" x14ac:dyDescent="0.35"/>
    <row r="953" ht="20.149999999999999" customHeight="1" x14ac:dyDescent="0.35"/>
    <row r="954" ht="20.149999999999999" customHeight="1" x14ac:dyDescent="0.35"/>
    <row r="955" ht="20.149999999999999" customHeight="1" x14ac:dyDescent="0.35"/>
    <row r="956" ht="20.149999999999999" customHeight="1" x14ac:dyDescent="0.35"/>
    <row r="957" ht="20.149999999999999" customHeight="1" x14ac:dyDescent="0.35"/>
    <row r="958" ht="20.149999999999999" customHeight="1" x14ac:dyDescent="0.35"/>
    <row r="959" ht="20.149999999999999" customHeight="1" x14ac:dyDescent="0.35"/>
    <row r="960" ht="20.149999999999999" customHeight="1" x14ac:dyDescent="0.35"/>
    <row r="961" ht="20.149999999999999" customHeight="1" x14ac:dyDescent="0.35"/>
    <row r="962" ht="20.149999999999999" customHeight="1" x14ac:dyDescent="0.35"/>
    <row r="963" ht="20.149999999999999" customHeight="1" x14ac:dyDescent="0.35"/>
    <row r="964" ht="20.149999999999999" customHeight="1" x14ac:dyDescent="0.35"/>
    <row r="965" ht="20.149999999999999" customHeight="1" x14ac:dyDescent="0.35"/>
    <row r="966" ht="20.149999999999999" customHeight="1" x14ac:dyDescent="0.35"/>
    <row r="967" ht="20.149999999999999" customHeight="1" x14ac:dyDescent="0.35"/>
    <row r="968" ht="20.149999999999999" customHeight="1" x14ac:dyDescent="0.35"/>
    <row r="969" ht="20.149999999999999" customHeight="1" x14ac:dyDescent="0.35"/>
    <row r="970" ht="20.149999999999999" customHeight="1" x14ac:dyDescent="0.35"/>
    <row r="971" ht="20.149999999999999" customHeight="1" x14ac:dyDescent="0.35"/>
    <row r="972" ht="20.149999999999999" customHeight="1" x14ac:dyDescent="0.35"/>
    <row r="973" ht="20.149999999999999" customHeight="1" x14ac:dyDescent="0.35"/>
    <row r="974" ht="20.149999999999999" customHeight="1" x14ac:dyDescent="0.35"/>
    <row r="975" ht="20.149999999999999" customHeight="1" x14ac:dyDescent="0.35"/>
    <row r="976" ht="20.149999999999999" customHeight="1" x14ac:dyDescent="0.35"/>
    <row r="977" ht="20.149999999999999" customHeight="1" x14ac:dyDescent="0.35"/>
    <row r="978" ht="20.149999999999999" customHeight="1" x14ac:dyDescent="0.35"/>
    <row r="979" ht="20.149999999999999" customHeight="1" x14ac:dyDescent="0.35"/>
    <row r="980" ht="20.149999999999999" customHeight="1" x14ac:dyDescent="0.35"/>
    <row r="981" ht="20.149999999999999" customHeight="1" x14ac:dyDescent="0.35"/>
    <row r="982" ht="20.149999999999999" customHeight="1" x14ac:dyDescent="0.35"/>
    <row r="983" ht="20.149999999999999" customHeight="1" x14ac:dyDescent="0.35"/>
    <row r="984" ht="20.149999999999999" customHeight="1" x14ac:dyDescent="0.35"/>
    <row r="985" ht="20.149999999999999" customHeight="1" x14ac:dyDescent="0.35"/>
    <row r="986" ht="20.149999999999999" customHeight="1" x14ac:dyDescent="0.35"/>
    <row r="987" ht="20.149999999999999" customHeight="1" x14ac:dyDescent="0.35"/>
    <row r="988" ht="20.149999999999999" customHeight="1" x14ac:dyDescent="0.35"/>
    <row r="989" ht="20.149999999999999" customHeight="1" x14ac:dyDescent="0.35"/>
    <row r="990" ht="20.149999999999999" customHeight="1" x14ac:dyDescent="0.35"/>
    <row r="991" ht="20.149999999999999" customHeight="1" x14ac:dyDescent="0.35"/>
    <row r="992" ht="20.149999999999999" customHeight="1" x14ac:dyDescent="0.35"/>
    <row r="993" ht="20.149999999999999" customHeight="1" x14ac:dyDescent="0.35"/>
    <row r="994" ht="20.149999999999999" customHeight="1" x14ac:dyDescent="0.35"/>
    <row r="995" ht="20.149999999999999" customHeight="1" x14ac:dyDescent="0.35"/>
    <row r="996" ht="20.149999999999999" customHeight="1" x14ac:dyDescent="0.35"/>
    <row r="997" ht="20.149999999999999" customHeight="1" x14ac:dyDescent="0.35"/>
    <row r="998" ht="20.149999999999999" customHeight="1" x14ac:dyDescent="0.35"/>
    <row r="999" ht="20.149999999999999" customHeight="1" x14ac:dyDescent="0.35"/>
    <row r="1000" ht="20.149999999999999" customHeight="1" x14ac:dyDescent="0.35"/>
    <row r="1001" ht="20.149999999999999" customHeight="1" x14ac:dyDescent="0.35"/>
    <row r="1002" ht="20.149999999999999" customHeight="1" x14ac:dyDescent="0.35"/>
    <row r="1003" ht="20.149999999999999" customHeight="1" x14ac:dyDescent="0.35"/>
    <row r="1004" ht="20.149999999999999" customHeight="1" x14ac:dyDescent="0.35"/>
    <row r="1005" ht="20.149999999999999" customHeight="1" x14ac:dyDescent="0.35"/>
    <row r="1006" ht="20.149999999999999" customHeight="1" x14ac:dyDescent="0.35"/>
    <row r="1007" ht="20.149999999999999" customHeight="1" x14ac:dyDescent="0.35"/>
    <row r="1008" ht="20.149999999999999" customHeight="1" x14ac:dyDescent="0.35"/>
    <row r="1009" ht="20.149999999999999" customHeight="1" x14ac:dyDescent="0.35"/>
    <row r="1010" ht="20.149999999999999" customHeight="1" x14ac:dyDescent="0.35"/>
    <row r="1011" ht="20.149999999999999" customHeight="1" x14ac:dyDescent="0.35"/>
    <row r="1012" ht="20.149999999999999" customHeight="1" x14ac:dyDescent="0.35"/>
    <row r="1013" ht="20.149999999999999" customHeight="1" x14ac:dyDescent="0.35"/>
    <row r="1014" ht="20.149999999999999" customHeight="1" x14ac:dyDescent="0.35"/>
    <row r="1015" ht="20.149999999999999" customHeight="1" x14ac:dyDescent="0.35"/>
    <row r="1016" ht="20.149999999999999" customHeight="1" x14ac:dyDescent="0.35"/>
    <row r="1017" ht="20.149999999999999" customHeight="1" x14ac:dyDescent="0.35"/>
    <row r="1018" ht="20.149999999999999" customHeight="1" x14ac:dyDescent="0.35"/>
    <row r="1019" ht="20.149999999999999" customHeight="1" x14ac:dyDescent="0.35"/>
    <row r="1020" ht="20.149999999999999" customHeight="1" x14ac:dyDescent="0.35"/>
    <row r="1021" ht="20.149999999999999" customHeight="1" x14ac:dyDescent="0.35"/>
    <row r="1022" ht="20.149999999999999" customHeight="1" x14ac:dyDescent="0.35"/>
    <row r="1023" ht="20.149999999999999" customHeight="1" x14ac:dyDescent="0.35"/>
    <row r="1024" ht="20.149999999999999" customHeight="1" x14ac:dyDescent="0.35"/>
    <row r="1025" ht="20.149999999999999" customHeight="1" x14ac:dyDescent="0.35"/>
    <row r="1026" ht="20.149999999999999" customHeight="1" x14ac:dyDescent="0.35"/>
    <row r="1027" ht="20.149999999999999" customHeight="1" x14ac:dyDescent="0.35"/>
    <row r="1028" ht="20.149999999999999" customHeight="1" x14ac:dyDescent="0.35"/>
    <row r="1029" ht="20.149999999999999" customHeight="1" x14ac:dyDescent="0.35"/>
    <row r="1030" ht="20.149999999999999" customHeight="1" x14ac:dyDescent="0.35"/>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7366-BAC4-45CB-BE3B-53D4466558D7}">
  <dimension ref="D2:BW19"/>
  <sheetViews>
    <sheetView topLeftCell="BD1" zoomScale="98" workbookViewId="0">
      <selection activeCell="BH4" sqref="BH4"/>
    </sheetView>
  </sheetViews>
  <sheetFormatPr defaultRowHeight="14.5" x14ac:dyDescent="0.35"/>
  <cols>
    <col min="4" max="4" width="12.54296875" bestFit="1" customWidth="1"/>
    <col min="5" max="5" width="12.6328125" bestFit="1" customWidth="1"/>
    <col min="6" max="6" width="12.81640625" bestFit="1" customWidth="1"/>
    <col min="11" max="11" width="17.7265625" bestFit="1" customWidth="1"/>
    <col min="12" max="12" width="12.6328125" bestFit="1" customWidth="1"/>
    <col min="17" max="17" width="12.6328125" bestFit="1" customWidth="1"/>
    <col min="18" max="18" width="14.453125" bestFit="1" customWidth="1"/>
    <col min="24" max="24" width="12.6328125" bestFit="1" customWidth="1"/>
    <col min="25" max="25" width="11.36328125" bestFit="1" customWidth="1"/>
    <col min="30" max="30" width="12.6328125" bestFit="1" customWidth="1"/>
    <col min="31" max="31" width="11.36328125" bestFit="1" customWidth="1"/>
    <col min="36" max="36" width="12.6328125" bestFit="1" customWidth="1"/>
    <col min="37" max="37" width="27.453125" bestFit="1" customWidth="1"/>
    <col min="42" max="42" width="12.6328125" bestFit="1" customWidth="1"/>
    <col min="43" max="43" width="12.81640625" bestFit="1" customWidth="1"/>
    <col min="48" max="48" width="12.6328125" bestFit="1" customWidth="1"/>
    <col min="49" max="49" width="11.36328125" bestFit="1" customWidth="1"/>
    <col min="54" max="54" width="12.54296875" bestFit="1" customWidth="1"/>
    <col min="55" max="55" width="16.81640625" bestFit="1" customWidth="1"/>
    <col min="56" max="56" width="16.08984375" customWidth="1"/>
    <col min="60" max="60" width="12.6328125" bestFit="1" customWidth="1"/>
    <col min="61" max="61" width="16.1796875" bestFit="1" customWidth="1"/>
    <col min="62" max="62" width="16.453125" bestFit="1" customWidth="1"/>
    <col min="66" max="66" width="12.6328125" bestFit="1" customWidth="1"/>
    <col min="67" max="67" width="14.453125" bestFit="1" customWidth="1"/>
    <col min="69" max="69" width="15" bestFit="1" customWidth="1"/>
    <col min="73" max="73" width="12.6328125" bestFit="1" customWidth="1"/>
    <col min="74" max="74" width="14.453125" bestFit="1" customWidth="1"/>
  </cols>
  <sheetData>
    <row r="2" spans="4:75" ht="18.5" x14ac:dyDescent="0.45">
      <c r="D2" s="53" t="s">
        <v>294</v>
      </c>
      <c r="E2" s="53"/>
      <c r="F2" s="53"/>
      <c r="G2" s="53"/>
      <c r="J2" s="53" t="s">
        <v>235</v>
      </c>
      <c r="K2" s="53"/>
      <c r="L2" s="53"/>
      <c r="M2" s="53"/>
      <c r="P2" s="53" t="s">
        <v>238</v>
      </c>
      <c r="Q2" s="53"/>
      <c r="R2" s="53"/>
      <c r="S2" s="53"/>
      <c r="W2" s="53" t="s">
        <v>239</v>
      </c>
      <c r="X2" s="53"/>
      <c r="Y2" s="53"/>
      <c r="Z2" s="53"/>
      <c r="AC2" s="53" t="s">
        <v>251</v>
      </c>
      <c r="AD2" s="53"/>
      <c r="AE2" s="53"/>
      <c r="AF2" s="53"/>
      <c r="AI2" s="53" t="s">
        <v>282</v>
      </c>
      <c r="AJ2" s="53"/>
      <c r="AK2" s="53"/>
      <c r="AL2" s="53"/>
      <c r="AO2" s="53" t="s">
        <v>286</v>
      </c>
      <c r="AP2" s="53"/>
      <c r="AQ2" s="53"/>
      <c r="AR2" s="53"/>
      <c r="AU2" s="53" t="s">
        <v>287</v>
      </c>
      <c r="AV2" s="53"/>
      <c r="AW2" s="53"/>
      <c r="AX2" s="53"/>
      <c r="BA2" s="53" t="s">
        <v>291</v>
      </c>
      <c r="BB2" s="53"/>
      <c r="BC2" s="53"/>
      <c r="BD2" s="53"/>
      <c r="BG2" s="53" t="s">
        <v>292</v>
      </c>
      <c r="BH2" s="53"/>
      <c r="BI2" s="53"/>
      <c r="BJ2" s="53"/>
      <c r="BM2" s="53" t="s">
        <v>293</v>
      </c>
      <c r="BN2" s="53"/>
      <c r="BO2" s="53"/>
      <c r="BP2" s="53"/>
      <c r="BT2" s="53" t="s">
        <v>295</v>
      </c>
      <c r="BU2" s="53"/>
      <c r="BV2" s="53"/>
      <c r="BW2" s="53"/>
    </row>
    <row r="4" spans="4:75" ht="18.5" x14ac:dyDescent="0.45">
      <c r="BB4" s="44">
        <v>4</v>
      </c>
      <c r="BC4" s="8"/>
      <c r="BH4" s="44">
        <f>GETPIVOTDATA("نوع العميل",$BH$8,"نوع العميل","افراد")</f>
        <v>4</v>
      </c>
      <c r="BN4" s="45" t="s">
        <v>232</v>
      </c>
      <c r="BO4" t="s">
        <v>236</v>
      </c>
      <c r="BU4" s="45" t="s">
        <v>232</v>
      </c>
      <c r="BV4" t="s">
        <v>236</v>
      </c>
    </row>
    <row r="5" spans="4:75" x14ac:dyDescent="0.35">
      <c r="E5" s="45" t="s">
        <v>232</v>
      </c>
      <c r="F5" t="s">
        <v>234</v>
      </c>
      <c r="K5" t="s">
        <v>237</v>
      </c>
      <c r="Q5" s="45" t="s">
        <v>232</v>
      </c>
      <c r="R5" t="s">
        <v>236</v>
      </c>
      <c r="X5" s="45" t="s">
        <v>232</v>
      </c>
      <c r="Y5" t="s">
        <v>240</v>
      </c>
      <c r="AD5" s="45" t="s">
        <v>232</v>
      </c>
      <c r="AE5" t="s">
        <v>240</v>
      </c>
      <c r="AJ5" s="45" t="s">
        <v>232</v>
      </c>
      <c r="AK5" t="s">
        <v>285</v>
      </c>
      <c r="AP5" s="45" t="s">
        <v>232</v>
      </c>
      <c r="AQ5" t="s">
        <v>234</v>
      </c>
      <c r="AV5" s="45" t="s">
        <v>232</v>
      </c>
      <c r="AW5" t="s">
        <v>240</v>
      </c>
      <c r="BN5" s="46" t="s">
        <v>129</v>
      </c>
      <c r="BO5" s="47">
        <v>73648</v>
      </c>
      <c r="BQ5" s="51">
        <f>GETPIVOTDATA("سعر البيع ",$BN$4)</f>
        <v>86622.22</v>
      </c>
      <c r="BU5" s="46" t="s">
        <v>296</v>
      </c>
      <c r="BV5" s="47">
        <v>86622.22</v>
      </c>
    </row>
    <row r="6" spans="4:75" x14ac:dyDescent="0.35">
      <c r="E6" s="46" t="s">
        <v>129</v>
      </c>
      <c r="F6" s="54">
        <v>7</v>
      </c>
      <c r="K6" s="47">
        <v>10827.7775</v>
      </c>
      <c r="Q6" s="46" t="s">
        <v>25</v>
      </c>
      <c r="R6" s="47">
        <v>31228</v>
      </c>
      <c r="X6" s="46" t="s">
        <v>103</v>
      </c>
      <c r="Y6" s="48">
        <v>12</v>
      </c>
      <c r="AD6" s="46" t="s">
        <v>113</v>
      </c>
      <c r="AE6" s="48">
        <v>9</v>
      </c>
      <c r="AJ6" s="50" t="s">
        <v>283</v>
      </c>
      <c r="AK6" s="49">
        <v>0.625</v>
      </c>
      <c r="AP6" s="46" t="s">
        <v>129</v>
      </c>
      <c r="AQ6" s="49">
        <v>0.875</v>
      </c>
      <c r="AV6" s="46" t="s">
        <v>206</v>
      </c>
      <c r="AW6" s="48">
        <v>14</v>
      </c>
      <c r="BN6" s="46" t="s">
        <v>134</v>
      </c>
      <c r="BO6" s="47">
        <v>12974.22</v>
      </c>
      <c r="BU6" s="46" t="s">
        <v>233</v>
      </c>
      <c r="BV6" s="47">
        <v>86622.22</v>
      </c>
    </row>
    <row r="7" spans="4:75" x14ac:dyDescent="0.35">
      <c r="E7" s="46" t="s">
        <v>134</v>
      </c>
      <c r="F7" s="54">
        <v>1</v>
      </c>
      <c r="Q7" s="46" t="s">
        <v>5</v>
      </c>
      <c r="R7" s="47">
        <v>28844.22</v>
      </c>
      <c r="X7" s="46" t="s">
        <v>94</v>
      </c>
      <c r="Y7" s="48">
        <v>2</v>
      </c>
      <c r="AD7" s="46" t="s">
        <v>252</v>
      </c>
      <c r="AE7" s="48">
        <v>6</v>
      </c>
      <c r="AJ7" s="50" t="s">
        <v>284</v>
      </c>
      <c r="AK7" s="49">
        <v>0.25</v>
      </c>
      <c r="AP7" s="46" t="s">
        <v>134</v>
      </c>
      <c r="AQ7" s="49">
        <v>0.125</v>
      </c>
      <c r="AV7" s="46" t="s">
        <v>290</v>
      </c>
      <c r="AW7" s="48">
        <v>1</v>
      </c>
      <c r="BN7" s="46" t="s">
        <v>233</v>
      </c>
      <c r="BO7" s="47">
        <v>86622.22</v>
      </c>
    </row>
    <row r="8" spans="4:75" x14ac:dyDescent="0.35">
      <c r="E8" s="46" t="s">
        <v>233</v>
      </c>
      <c r="F8" s="54">
        <v>8</v>
      </c>
      <c r="K8" s="51">
        <f>GETPIVOTDATA("سعر البيع ",$K$5)</f>
        <v>10827.7775</v>
      </c>
      <c r="Q8" s="46" t="s">
        <v>31</v>
      </c>
      <c r="R8" s="47">
        <v>14550</v>
      </c>
      <c r="X8" s="46" t="s">
        <v>186</v>
      </c>
      <c r="Y8" s="48">
        <v>1</v>
      </c>
      <c r="AD8" s="46" t="s">
        <v>108</v>
      </c>
      <c r="AE8" s="48">
        <v>1</v>
      </c>
      <c r="AJ8" s="50" t="s">
        <v>281</v>
      </c>
      <c r="AK8" s="49">
        <v>0.125</v>
      </c>
      <c r="AP8" s="46" t="s">
        <v>233</v>
      </c>
      <c r="AQ8" s="48">
        <v>1</v>
      </c>
      <c r="AV8" s="46" t="s">
        <v>72</v>
      </c>
      <c r="AW8" s="48">
        <v>1</v>
      </c>
      <c r="BH8" s="45" t="s">
        <v>232</v>
      </c>
      <c r="BI8" t="s">
        <v>301</v>
      </c>
    </row>
    <row r="9" spans="4:75" x14ac:dyDescent="0.35">
      <c r="Q9" s="46" t="s">
        <v>21</v>
      </c>
      <c r="R9" s="47">
        <v>12000</v>
      </c>
      <c r="X9" s="46" t="s">
        <v>102</v>
      </c>
      <c r="Y9" s="48">
        <v>1</v>
      </c>
      <c r="AD9" s="46" t="s">
        <v>233</v>
      </c>
      <c r="AE9" s="48">
        <v>16</v>
      </c>
      <c r="AJ9" s="46" t="s">
        <v>233</v>
      </c>
      <c r="AK9" s="48">
        <v>1</v>
      </c>
      <c r="AV9" s="46" t="s">
        <v>233</v>
      </c>
      <c r="AW9" s="48">
        <v>16</v>
      </c>
      <c r="BH9" s="46" t="s">
        <v>299</v>
      </c>
      <c r="BI9" s="48">
        <v>4</v>
      </c>
    </row>
    <row r="10" spans="4:75" x14ac:dyDescent="0.35">
      <c r="E10">
        <f>GETPIVOTDATA("الحالة",$E$5)</f>
        <v>8</v>
      </c>
      <c r="Q10" s="46" t="s">
        <v>233</v>
      </c>
      <c r="R10" s="47">
        <v>86622.22</v>
      </c>
      <c r="X10" s="46" t="s">
        <v>233</v>
      </c>
      <c r="Y10" s="48">
        <v>16</v>
      </c>
      <c r="BH10" s="46" t="s">
        <v>300</v>
      </c>
      <c r="BI10" s="48">
        <v>4</v>
      </c>
    </row>
    <row r="11" spans="4:75" x14ac:dyDescent="0.35">
      <c r="BH11" s="46" t="s">
        <v>233</v>
      </c>
      <c r="BI11" s="48">
        <v>8</v>
      </c>
    </row>
    <row r="15" spans="4:75" x14ac:dyDescent="0.35">
      <c r="X15" t="str">
        <f>X6</f>
        <v>كنبة</v>
      </c>
    </row>
    <row r="19" spans="30:30" x14ac:dyDescent="0.35">
      <c r="AD19" t="str">
        <f>AD6</f>
        <v>رمادى</v>
      </c>
    </row>
  </sheetData>
  <mergeCells count="12">
    <mergeCell ref="BM2:BP2"/>
    <mergeCell ref="BT2:BW2"/>
    <mergeCell ref="AO2:AR2"/>
    <mergeCell ref="AU2:AX2"/>
    <mergeCell ref="BA2:BD2"/>
    <mergeCell ref="BG2:BJ2"/>
    <mergeCell ref="AI2:AL2"/>
    <mergeCell ref="D2:G2"/>
    <mergeCell ref="J2:M2"/>
    <mergeCell ref="P2:S2"/>
    <mergeCell ref="W2:Z2"/>
    <mergeCell ref="AC2:A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BD0B-D3D3-41FB-8FCE-4FEBA5636EBC}">
  <dimension ref="O33:T47"/>
  <sheetViews>
    <sheetView showGridLines="0" tabSelected="1" zoomScale="74" zoomScaleNormal="75" workbookViewId="0">
      <selection activeCell="S37" sqref="S37"/>
    </sheetView>
  </sheetViews>
  <sheetFormatPr defaultRowHeight="14.5" x14ac:dyDescent="0.35"/>
  <sheetData>
    <row r="33" spans="15:20" ht="18.5" x14ac:dyDescent="0.45">
      <c r="T33" s="44"/>
    </row>
    <row r="36" spans="15:20" x14ac:dyDescent="0.35">
      <c r="O36" s="51"/>
    </row>
    <row r="47" spans="15:20" x14ac:dyDescent="0.35">
      <c r="R47" s="5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vt: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Abdullah 2006</cp:lastModifiedBy>
  <dcterms:created xsi:type="dcterms:W3CDTF">2015-06-05T18:17:20Z</dcterms:created>
  <dcterms:modified xsi:type="dcterms:W3CDTF">2026-07-12T18:34:03Z</dcterms:modified>
</cp:coreProperties>
</file>